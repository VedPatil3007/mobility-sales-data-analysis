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Ved Shankar Patil\Desktop\"/>
    </mc:Choice>
  </mc:AlternateContent>
  <xr:revisionPtr revIDLastSave="0" documentId="8_{384D5952-B8FB-4ABC-AB1E-C60CB8DDC7D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ales Analysis" sheetId="1" r:id="rId1"/>
    <sheet name="Clean Data" sheetId="2" r:id="rId2"/>
    <sheet name="Original Data" sheetId="3" r:id="rId3"/>
    <sheet name="Lookups" sheetId="4" r:id="rId4"/>
  </sheets>
  <definedNames>
    <definedName name="_xlnm._FilterDatabase" localSheetId="1" hidden="1">'Clean Data'!$A$1:$R$145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" i="2" l="1"/>
  <c r="M3" i="2"/>
  <c r="M2" i="2"/>
  <c r="AB145" i="2"/>
  <c r="Q145" i="2" s="1"/>
  <c r="AA145" i="2"/>
  <c r="R145" i="2"/>
  <c r="K145" i="2"/>
  <c r="M145" i="2" s="1"/>
  <c r="P145" i="2" s="1"/>
  <c r="J145" i="2"/>
  <c r="I145" i="2"/>
  <c r="D145" i="2"/>
  <c r="B145" i="2"/>
  <c r="AB144" i="2"/>
  <c r="AA144" i="2"/>
  <c r="Q144" i="2" s="1"/>
  <c r="R144" i="2"/>
  <c r="K144" i="2"/>
  <c r="M144" i="2" s="1"/>
  <c r="P144" i="2" s="1"/>
  <c r="J144" i="2"/>
  <c r="I144" i="2"/>
  <c r="D144" i="2"/>
  <c r="B144" i="2"/>
  <c r="AB143" i="2"/>
  <c r="AA143" i="2"/>
  <c r="Q143" i="2" s="1"/>
  <c r="R143" i="2"/>
  <c r="K143" i="2"/>
  <c r="M143" i="2" s="1"/>
  <c r="P143" i="2" s="1"/>
  <c r="J143" i="2"/>
  <c r="I143" i="2"/>
  <c r="D143" i="2"/>
  <c r="B143" i="2"/>
  <c r="AB142" i="2"/>
  <c r="AA142" i="2"/>
  <c r="Q142" i="2" s="1"/>
  <c r="R142" i="2"/>
  <c r="K142" i="2"/>
  <c r="M142" i="2" s="1"/>
  <c r="P142" i="2" s="1"/>
  <c r="J142" i="2"/>
  <c r="I142" i="2"/>
  <c r="D142" i="2"/>
  <c r="B142" i="2"/>
  <c r="AB141" i="2"/>
  <c r="AA141" i="2"/>
  <c r="Q141" i="2" s="1"/>
  <c r="R141" i="2"/>
  <c r="K141" i="2"/>
  <c r="M141" i="2" s="1"/>
  <c r="P141" i="2" s="1"/>
  <c r="J141" i="2"/>
  <c r="I141" i="2"/>
  <c r="D141" i="2"/>
  <c r="B141" i="2"/>
  <c r="AB140" i="2"/>
  <c r="AA140" i="2"/>
  <c r="Q140" i="2" s="1"/>
  <c r="R140" i="2"/>
  <c r="K140" i="2"/>
  <c r="M140" i="2" s="1"/>
  <c r="P140" i="2" s="1"/>
  <c r="J140" i="2"/>
  <c r="I140" i="2"/>
  <c r="D140" i="2"/>
  <c r="B140" i="2"/>
  <c r="AB139" i="2"/>
  <c r="AA139" i="2"/>
  <c r="Q139" i="2" s="1"/>
  <c r="R139" i="2"/>
  <c r="K139" i="2"/>
  <c r="M139" i="2" s="1"/>
  <c r="P139" i="2" s="1"/>
  <c r="J139" i="2"/>
  <c r="I139" i="2"/>
  <c r="D139" i="2"/>
  <c r="B139" i="2"/>
  <c r="AB138" i="2"/>
  <c r="AA138" i="2"/>
  <c r="Q138" i="2" s="1"/>
  <c r="R138" i="2"/>
  <c r="K138" i="2"/>
  <c r="M138" i="2" s="1"/>
  <c r="P138" i="2" s="1"/>
  <c r="J138" i="2"/>
  <c r="I138" i="2"/>
  <c r="D138" i="2"/>
  <c r="B138" i="2"/>
  <c r="AB137" i="2"/>
  <c r="AA137" i="2"/>
  <c r="R137" i="2"/>
  <c r="Q137" i="2"/>
  <c r="K137" i="2"/>
  <c r="M137" i="2" s="1"/>
  <c r="P137" i="2" s="1"/>
  <c r="J137" i="2"/>
  <c r="I137" i="2"/>
  <c r="D137" i="2"/>
  <c r="B137" i="2"/>
  <c r="AB136" i="2"/>
  <c r="AA136" i="2"/>
  <c r="Q136" i="2" s="1"/>
  <c r="R136" i="2"/>
  <c r="K136" i="2"/>
  <c r="M136" i="2" s="1"/>
  <c r="P136" i="2" s="1"/>
  <c r="J136" i="2"/>
  <c r="I136" i="2"/>
  <c r="D136" i="2"/>
  <c r="B136" i="2"/>
  <c r="AB135" i="2"/>
  <c r="AA135" i="2"/>
  <c r="R135" i="2"/>
  <c r="Q135" i="2"/>
  <c r="K135" i="2"/>
  <c r="M135" i="2" s="1"/>
  <c r="P135" i="2" s="1"/>
  <c r="J135" i="2"/>
  <c r="I135" i="2"/>
  <c r="D135" i="2"/>
  <c r="B135" i="2"/>
  <c r="AB134" i="2"/>
  <c r="AA134" i="2"/>
  <c r="R134" i="2"/>
  <c r="Q134" i="2"/>
  <c r="K134" i="2"/>
  <c r="M134" i="2" s="1"/>
  <c r="P134" i="2" s="1"/>
  <c r="J134" i="2"/>
  <c r="I134" i="2"/>
  <c r="D134" i="2"/>
  <c r="B134" i="2"/>
  <c r="AB133" i="2"/>
  <c r="AA133" i="2"/>
  <c r="R133" i="2"/>
  <c r="Q133" i="2"/>
  <c r="K133" i="2"/>
  <c r="M133" i="2" s="1"/>
  <c r="P133" i="2" s="1"/>
  <c r="J133" i="2"/>
  <c r="I133" i="2"/>
  <c r="D133" i="2"/>
  <c r="B133" i="2"/>
  <c r="AB132" i="2"/>
  <c r="AA132" i="2"/>
  <c r="R132" i="2"/>
  <c r="Q132" i="2"/>
  <c r="K132" i="2"/>
  <c r="M132" i="2" s="1"/>
  <c r="P132" i="2" s="1"/>
  <c r="J132" i="2"/>
  <c r="I132" i="2"/>
  <c r="D132" i="2"/>
  <c r="B132" i="2"/>
  <c r="AB131" i="2"/>
  <c r="AA131" i="2"/>
  <c r="R131" i="2"/>
  <c r="Q131" i="2"/>
  <c r="K131" i="2"/>
  <c r="M131" i="2" s="1"/>
  <c r="P131" i="2" s="1"/>
  <c r="J131" i="2"/>
  <c r="I131" i="2"/>
  <c r="D131" i="2"/>
  <c r="B131" i="2"/>
  <c r="AB130" i="2"/>
  <c r="AA130" i="2"/>
  <c r="R130" i="2"/>
  <c r="Q130" i="2"/>
  <c r="K130" i="2"/>
  <c r="M130" i="2" s="1"/>
  <c r="P130" i="2" s="1"/>
  <c r="J130" i="2"/>
  <c r="I130" i="2"/>
  <c r="D130" i="2"/>
  <c r="B130" i="2"/>
  <c r="AB129" i="2"/>
  <c r="AA129" i="2"/>
  <c r="R129" i="2"/>
  <c r="Q129" i="2"/>
  <c r="K129" i="2"/>
  <c r="M129" i="2" s="1"/>
  <c r="P129" i="2" s="1"/>
  <c r="J129" i="2"/>
  <c r="I129" i="2"/>
  <c r="D129" i="2"/>
  <c r="B129" i="2"/>
  <c r="AB128" i="2"/>
  <c r="AA128" i="2"/>
  <c r="R128" i="2"/>
  <c r="Q128" i="2"/>
  <c r="K128" i="2"/>
  <c r="M128" i="2" s="1"/>
  <c r="P128" i="2" s="1"/>
  <c r="J128" i="2"/>
  <c r="I128" i="2"/>
  <c r="D128" i="2"/>
  <c r="B128" i="2"/>
  <c r="AB127" i="2"/>
  <c r="AA127" i="2"/>
  <c r="R127" i="2"/>
  <c r="Q127" i="2"/>
  <c r="K127" i="2"/>
  <c r="M127" i="2" s="1"/>
  <c r="P127" i="2" s="1"/>
  <c r="J127" i="2"/>
  <c r="I127" i="2"/>
  <c r="D127" i="2"/>
  <c r="B127" i="2"/>
  <c r="AB126" i="2"/>
  <c r="AA126" i="2"/>
  <c r="R126" i="2"/>
  <c r="Q126" i="2"/>
  <c r="K126" i="2"/>
  <c r="M126" i="2" s="1"/>
  <c r="P126" i="2" s="1"/>
  <c r="J126" i="2"/>
  <c r="I126" i="2"/>
  <c r="D126" i="2"/>
  <c r="B126" i="2"/>
  <c r="AB125" i="2"/>
  <c r="AA125" i="2"/>
  <c r="R125" i="2"/>
  <c r="Q125" i="2"/>
  <c r="K125" i="2"/>
  <c r="M125" i="2" s="1"/>
  <c r="P125" i="2" s="1"/>
  <c r="J125" i="2"/>
  <c r="I125" i="2"/>
  <c r="D125" i="2"/>
  <c r="B125" i="2"/>
  <c r="AB124" i="2"/>
  <c r="AA124" i="2"/>
  <c r="R124" i="2"/>
  <c r="Q124" i="2"/>
  <c r="K124" i="2"/>
  <c r="M124" i="2" s="1"/>
  <c r="P124" i="2" s="1"/>
  <c r="J124" i="2"/>
  <c r="I124" i="2"/>
  <c r="D124" i="2"/>
  <c r="B124" i="2"/>
  <c r="AB123" i="2"/>
  <c r="AA123" i="2"/>
  <c r="R123" i="2"/>
  <c r="Q123" i="2"/>
  <c r="K123" i="2"/>
  <c r="M123" i="2" s="1"/>
  <c r="P123" i="2" s="1"/>
  <c r="J123" i="2"/>
  <c r="I123" i="2"/>
  <c r="D123" i="2"/>
  <c r="B123" i="2"/>
  <c r="AB122" i="2"/>
  <c r="AA122" i="2"/>
  <c r="R122" i="2"/>
  <c r="Q122" i="2"/>
  <c r="K122" i="2"/>
  <c r="M122" i="2" s="1"/>
  <c r="P122" i="2" s="1"/>
  <c r="J122" i="2"/>
  <c r="I122" i="2"/>
  <c r="D122" i="2"/>
  <c r="B122" i="2"/>
  <c r="AB121" i="2"/>
  <c r="AA121" i="2"/>
  <c r="R121" i="2"/>
  <c r="Q121" i="2"/>
  <c r="K121" i="2"/>
  <c r="M121" i="2" s="1"/>
  <c r="P121" i="2" s="1"/>
  <c r="J121" i="2"/>
  <c r="I121" i="2"/>
  <c r="D121" i="2"/>
  <c r="B121" i="2"/>
  <c r="AB120" i="2"/>
  <c r="AA120" i="2"/>
  <c r="R120" i="2"/>
  <c r="Q120" i="2"/>
  <c r="K120" i="2"/>
  <c r="M120" i="2" s="1"/>
  <c r="P120" i="2" s="1"/>
  <c r="J120" i="2"/>
  <c r="I120" i="2"/>
  <c r="D120" i="2"/>
  <c r="B120" i="2"/>
  <c r="AB119" i="2"/>
  <c r="AA119" i="2"/>
  <c r="R119" i="2"/>
  <c r="Q119" i="2"/>
  <c r="K119" i="2"/>
  <c r="M119" i="2" s="1"/>
  <c r="P119" i="2" s="1"/>
  <c r="J119" i="2"/>
  <c r="I119" i="2"/>
  <c r="D119" i="2"/>
  <c r="B119" i="2"/>
  <c r="AB118" i="2"/>
  <c r="AA118" i="2"/>
  <c r="R118" i="2"/>
  <c r="Q118" i="2"/>
  <c r="K118" i="2"/>
  <c r="M118" i="2" s="1"/>
  <c r="P118" i="2" s="1"/>
  <c r="J118" i="2"/>
  <c r="I118" i="2"/>
  <c r="D118" i="2"/>
  <c r="B118" i="2"/>
  <c r="AB117" i="2"/>
  <c r="AA117" i="2"/>
  <c r="R117" i="2"/>
  <c r="Q117" i="2"/>
  <c r="K117" i="2"/>
  <c r="M117" i="2" s="1"/>
  <c r="P117" i="2" s="1"/>
  <c r="J117" i="2"/>
  <c r="I117" i="2"/>
  <c r="D117" i="2"/>
  <c r="B117" i="2"/>
  <c r="AB116" i="2"/>
  <c r="AA116" i="2"/>
  <c r="R116" i="2"/>
  <c r="Q116" i="2"/>
  <c r="K116" i="2"/>
  <c r="M116" i="2" s="1"/>
  <c r="P116" i="2" s="1"/>
  <c r="J116" i="2"/>
  <c r="I116" i="2"/>
  <c r="D116" i="2"/>
  <c r="B116" i="2"/>
  <c r="AB115" i="2"/>
  <c r="AA115" i="2"/>
  <c r="R115" i="2"/>
  <c r="Q115" i="2"/>
  <c r="K115" i="2"/>
  <c r="M115" i="2" s="1"/>
  <c r="P115" i="2" s="1"/>
  <c r="J115" i="2"/>
  <c r="I115" i="2"/>
  <c r="D115" i="2"/>
  <c r="B115" i="2"/>
  <c r="AB114" i="2"/>
  <c r="AA114" i="2"/>
  <c r="R114" i="2"/>
  <c r="Q114" i="2"/>
  <c r="K114" i="2"/>
  <c r="M114" i="2" s="1"/>
  <c r="P114" i="2" s="1"/>
  <c r="J114" i="2"/>
  <c r="I114" i="2"/>
  <c r="D114" i="2"/>
  <c r="B114" i="2"/>
  <c r="AB113" i="2"/>
  <c r="AA113" i="2"/>
  <c r="R113" i="2"/>
  <c r="Q113" i="2"/>
  <c r="K113" i="2"/>
  <c r="M113" i="2" s="1"/>
  <c r="P113" i="2" s="1"/>
  <c r="J113" i="2"/>
  <c r="I113" i="2"/>
  <c r="D113" i="2"/>
  <c r="B113" i="2"/>
  <c r="AB112" i="2"/>
  <c r="AA112" i="2"/>
  <c r="R112" i="2"/>
  <c r="Q112" i="2"/>
  <c r="K112" i="2"/>
  <c r="M112" i="2" s="1"/>
  <c r="P112" i="2" s="1"/>
  <c r="J112" i="2"/>
  <c r="I112" i="2"/>
  <c r="D112" i="2"/>
  <c r="B112" i="2"/>
  <c r="AB111" i="2"/>
  <c r="AA111" i="2"/>
  <c r="R111" i="2"/>
  <c r="Q111" i="2"/>
  <c r="K111" i="2"/>
  <c r="M111" i="2" s="1"/>
  <c r="P111" i="2" s="1"/>
  <c r="J111" i="2"/>
  <c r="I111" i="2"/>
  <c r="D111" i="2"/>
  <c r="B111" i="2"/>
  <c r="AB110" i="2"/>
  <c r="AA110" i="2"/>
  <c r="R110" i="2"/>
  <c r="Q110" i="2"/>
  <c r="K110" i="2"/>
  <c r="M110" i="2" s="1"/>
  <c r="P110" i="2" s="1"/>
  <c r="J110" i="2"/>
  <c r="I110" i="2"/>
  <c r="D110" i="2"/>
  <c r="B110" i="2"/>
  <c r="AB109" i="2"/>
  <c r="AA109" i="2"/>
  <c r="R109" i="2"/>
  <c r="Q109" i="2"/>
  <c r="K109" i="2"/>
  <c r="M109" i="2" s="1"/>
  <c r="P109" i="2" s="1"/>
  <c r="J109" i="2"/>
  <c r="I109" i="2"/>
  <c r="D109" i="2"/>
  <c r="B109" i="2"/>
  <c r="AB108" i="2"/>
  <c r="AA108" i="2"/>
  <c r="R108" i="2"/>
  <c r="Q108" i="2"/>
  <c r="K108" i="2"/>
  <c r="M108" i="2" s="1"/>
  <c r="P108" i="2" s="1"/>
  <c r="J108" i="2"/>
  <c r="I108" i="2"/>
  <c r="D108" i="2"/>
  <c r="B108" i="2"/>
  <c r="AB107" i="2"/>
  <c r="AA107" i="2"/>
  <c r="R107" i="2"/>
  <c r="Q107" i="2"/>
  <c r="K107" i="2"/>
  <c r="M107" i="2" s="1"/>
  <c r="P107" i="2" s="1"/>
  <c r="J107" i="2"/>
  <c r="I107" i="2"/>
  <c r="D107" i="2"/>
  <c r="B107" i="2"/>
  <c r="AB106" i="2"/>
  <c r="AA106" i="2"/>
  <c r="R106" i="2"/>
  <c r="Q106" i="2"/>
  <c r="K106" i="2"/>
  <c r="M106" i="2" s="1"/>
  <c r="P106" i="2" s="1"/>
  <c r="J106" i="2"/>
  <c r="I106" i="2"/>
  <c r="D106" i="2"/>
  <c r="B106" i="2"/>
  <c r="AB105" i="2"/>
  <c r="AA105" i="2"/>
  <c r="R105" i="2"/>
  <c r="Q105" i="2"/>
  <c r="K105" i="2"/>
  <c r="M105" i="2" s="1"/>
  <c r="P105" i="2" s="1"/>
  <c r="J105" i="2"/>
  <c r="I105" i="2"/>
  <c r="D105" i="2"/>
  <c r="B105" i="2"/>
  <c r="AB104" i="2"/>
  <c r="AA104" i="2"/>
  <c r="R104" i="2"/>
  <c r="Q104" i="2"/>
  <c r="K104" i="2"/>
  <c r="M104" i="2" s="1"/>
  <c r="P104" i="2" s="1"/>
  <c r="J104" i="2"/>
  <c r="I104" i="2"/>
  <c r="D104" i="2"/>
  <c r="B104" i="2"/>
  <c r="AB103" i="2"/>
  <c r="AA103" i="2"/>
  <c r="R103" i="2"/>
  <c r="Q103" i="2"/>
  <c r="K103" i="2"/>
  <c r="M103" i="2" s="1"/>
  <c r="P103" i="2" s="1"/>
  <c r="J103" i="2"/>
  <c r="I103" i="2"/>
  <c r="D103" i="2"/>
  <c r="B103" i="2"/>
  <c r="AB102" i="2"/>
  <c r="AA102" i="2"/>
  <c r="R102" i="2"/>
  <c r="Q102" i="2"/>
  <c r="K102" i="2"/>
  <c r="M102" i="2" s="1"/>
  <c r="P102" i="2" s="1"/>
  <c r="J102" i="2"/>
  <c r="I102" i="2"/>
  <c r="D102" i="2"/>
  <c r="B102" i="2"/>
  <c r="AB101" i="2"/>
  <c r="AA101" i="2"/>
  <c r="R101" i="2"/>
  <c r="Q101" i="2"/>
  <c r="K101" i="2"/>
  <c r="M101" i="2" s="1"/>
  <c r="P101" i="2" s="1"/>
  <c r="J101" i="2"/>
  <c r="I101" i="2"/>
  <c r="D101" i="2"/>
  <c r="B101" i="2"/>
  <c r="AB100" i="2"/>
  <c r="AA100" i="2"/>
  <c r="R100" i="2"/>
  <c r="Q100" i="2"/>
  <c r="K100" i="2"/>
  <c r="M100" i="2" s="1"/>
  <c r="P100" i="2" s="1"/>
  <c r="J100" i="2"/>
  <c r="I100" i="2"/>
  <c r="D100" i="2"/>
  <c r="B100" i="2"/>
  <c r="AB99" i="2"/>
  <c r="AA99" i="2"/>
  <c r="R99" i="2"/>
  <c r="Q99" i="2"/>
  <c r="K99" i="2"/>
  <c r="M99" i="2" s="1"/>
  <c r="P99" i="2" s="1"/>
  <c r="J99" i="2"/>
  <c r="I99" i="2"/>
  <c r="D99" i="2"/>
  <c r="B99" i="2"/>
  <c r="AB98" i="2"/>
  <c r="AA98" i="2"/>
  <c r="R98" i="2"/>
  <c r="Q98" i="2"/>
  <c r="K98" i="2"/>
  <c r="M98" i="2" s="1"/>
  <c r="P98" i="2" s="1"/>
  <c r="D27" i="1" s="1"/>
  <c r="J98" i="2"/>
  <c r="I98" i="2"/>
  <c r="D98" i="2"/>
  <c r="B98" i="2"/>
  <c r="AB97" i="2"/>
  <c r="AA97" i="2"/>
  <c r="R97" i="2"/>
  <c r="Q97" i="2"/>
  <c r="K97" i="2"/>
  <c r="M97" i="2" s="1"/>
  <c r="P97" i="2" s="1"/>
  <c r="J97" i="2"/>
  <c r="I97" i="2"/>
  <c r="D97" i="2"/>
  <c r="B97" i="2"/>
  <c r="AB96" i="2"/>
  <c r="AA96" i="2"/>
  <c r="R96" i="2"/>
  <c r="Q96" i="2"/>
  <c r="K96" i="2"/>
  <c r="M96" i="2" s="1"/>
  <c r="P96" i="2" s="1"/>
  <c r="J96" i="2"/>
  <c r="I96" i="2"/>
  <c r="D96" i="2"/>
  <c r="B96" i="2"/>
  <c r="AB95" i="2"/>
  <c r="AA95" i="2"/>
  <c r="R95" i="2"/>
  <c r="Q95" i="2"/>
  <c r="K95" i="2"/>
  <c r="M95" i="2" s="1"/>
  <c r="P95" i="2" s="1"/>
  <c r="J95" i="2"/>
  <c r="I95" i="2"/>
  <c r="D95" i="2"/>
  <c r="B95" i="2"/>
  <c r="AB94" i="2"/>
  <c r="AA94" i="2"/>
  <c r="R94" i="2"/>
  <c r="Q94" i="2"/>
  <c r="K94" i="2"/>
  <c r="M94" i="2" s="1"/>
  <c r="P94" i="2" s="1"/>
  <c r="J94" i="2"/>
  <c r="I94" i="2"/>
  <c r="D94" i="2"/>
  <c r="B94" i="2"/>
  <c r="AB93" i="2"/>
  <c r="AA93" i="2"/>
  <c r="R93" i="2"/>
  <c r="Q93" i="2"/>
  <c r="K93" i="2"/>
  <c r="M93" i="2" s="1"/>
  <c r="P93" i="2" s="1"/>
  <c r="J93" i="2"/>
  <c r="I93" i="2"/>
  <c r="D93" i="2"/>
  <c r="B93" i="2"/>
  <c r="AB92" i="2"/>
  <c r="AA92" i="2"/>
  <c r="R92" i="2"/>
  <c r="Q92" i="2"/>
  <c r="K92" i="2"/>
  <c r="M92" i="2" s="1"/>
  <c r="P92" i="2" s="1"/>
  <c r="J92" i="2"/>
  <c r="I92" i="2"/>
  <c r="D92" i="2"/>
  <c r="B92" i="2"/>
  <c r="AB91" i="2"/>
  <c r="AA91" i="2"/>
  <c r="R91" i="2"/>
  <c r="Q91" i="2"/>
  <c r="K91" i="2"/>
  <c r="M91" i="2" s="1"/>
  <c r="P91" i="2" s="1"/>
  <c r="J91" i="2"/>
  <c r="I91" i="2"/>
  <c r="D91" i="2"/>
  <c r="B91" i="2"/>
  <c r="AB90" i="2"/>
  <c r="AA90" i="2"/>
  <c r="R90" i="2"/>
  <c r="Q90" i="2"/>
  <c r="K90" i="2"/>
  <c r="M90" i="2" s="1"/>
  <c r="P90" i="2" s="1"/>
  <c r="J90" i="2"/>
  <c r="I90" i="2"/>
  <c r="D90" i="2"/>
  <c r="B90" i="2"/>
  <c r="AB89" i="2"/>
  <c r="AA89" i="2"/>
  <c r="R89" i="2"/>
  <c r="Q89" i="2"/>
  <c r="K89" i="2"/>
  <c r="M89" i="2" s="1"/>
  <c r="P89" i="2" s="1"/>
  <c r="J89" i="2"/>
  <c r="I89" i="2"/>
  <c r="D89" i="2"/>
  <c r="B89" i="2"/>
  <c r="AB88" i="2"/>
  <c r="AA88" i="2"/>
  <c r="R88" i="2"/>
  <c r="Q88" i="2"/>
  <c r="K88" i="2"/>
  <c r="M88" i="2" s="1"/>
  <c r="P88" i="2" s="1"/>
  <c r="J88" i="2"/>
  <c r="I88" i="2"/>
  <c r="D88" i="2"/>
  <c r="B88" i="2"/>
  <c r="AB87" i="2"/>
  <c r="AA87" i="2"/>
  <c r="R87" i="2"/>
  <c r="Q87" i="2"/>
  <c r="K87" i="2"/>
  <c r="M87" i="2" s="1"/>
  <c r="P87" i="2" s="1"/>
  <c r="J87" i="2"/>
  <c r="I87" i="2"/>
  <c r="D87" i="2"/>
  <c r="B87" i="2"/>
  <c r="AB86" i="2"/>
  <c r="AA86" i="2"/>
  <c r="R86" i="2"/>
  <c r="Q86" i="2"/>
  <c r="K86" i="2"/>
  <c r="M86" i="2" s="1"/>
  <c r="P86" i="2" s="1"/>
  <c r="D26" i="1" s="1"/>
  <c r="J86" i="2"/>
  <c r="I86" i="2"/>
  <c r="D86" i="2"/>
  <c r="B86" i="2"/>
  <c r="AB85" i="2"/>
  <c r="AA85" i="2"/>
  <c r="R85" i="2"/>
  <c r="Q85" i="2"/>
  <c r="K85" i="2"/>
  <c r="M85" i="2" s="1"/>
  <c r="P85" i="2" s="1"/>
  <c r="J85" i="2"/>
  <c r="I85" i="2"/>
  <c r="D85" i="2"/>
  <c r="B85" i="2"/>
  <c r="AB84" i="2"/>
  <c r="AA84" i="2"/>
  <c r="R84" i="2"/>
  <c r="Q84" i="2"/>
  <c r="K84" i="2"/>
  <c r="M84" i="2" s="1"/>
  <c r="P84" i="2" s="1"/>
  <c r="J84" i="2"/>
  <c r="I84" i="2"/>
  <c r="D84" i="2"/>
  <c r="B84" i="2"/>
  <c r="AB83" i="2"/>
  <c r="AA83" i="2"/>
  <c r="R83" i="2"/>
  <c r="Q83" i="2"/>
  <c r="K83" i="2"/>
  <c r="M83" i="2" s="1"/>
  <c r="P83" i="2" s="1"/>
  <c r="J83" i="2"/>
  <c r="I83" i="2"/>
  <c r="D83" i="2"/>
  <c r="B83" i="2"/>
  <c r="AB82" i="2"/>
  <c r="AA82" i="2"/>
  <c r="R82" i="2"/>
  <c r="Q82" i="2"/>
  <c r="K82" i="2"/>
  <c r="M82" i="2" s="1"/>
  <c r="P82" i="2" s="1"/>
  <c r="J82" i="2"/>
  <c r="I82" i="2"/>
  <c r="D82" i="2"/>
  <c r="B82" i="2"/>
  <c r="AB81" i="2"/>
  <c r="AA81" i="2"/>
  <c r="R81" i="2"/>
  <c r="Q81" i="2"/>
  <c r="K81" i="2"/>
  <c r="M81" i="2" s="1"/>
  <c r="P81" i="2" s="1"/>
  <c r="J81" i="2"/>
  <c r="I81" i="2"/>
  <c r="D81" i="2"/>
  <c r="B81" i="2"/>
  <c r="AB80" i="2"/>
  <c r="AA80" i="2"/>
  <c r="R80" i="2"/>
  <c r="Q80" i="2"/>
  <c r="K80" i="2"/>
  <c r="M80" i="2" s="1"/>
  <c r="P80" i="2" s="1"/>
  <c r="J80" i="2"/>
  <c r="I80" i="2"/>
  <c r="D80" i="2"/>
  <c r="B80" i="2"/>
  <c r="AB79" i="2"/>
  <c r="AA79" i="2"/>
  <c r="R79" i="2"/>
  <c r="Q79" i="2"/>
  <c r="K79" i="2"/>
  <c r="M79" i="2" s="1"/>
  <c r="P79" i="2" s="1"/>
  <c r="J79" i="2"/>
  <c r="I79" i="2"/>
  <c r="D79" i="2"/>
  <c r="B79" i="2"/>
  <c r="AB78" i="2"/>
  <c r="AA78" i="2"/>
  <c r="R78" i="2"/>
  <c r="Q78" i="2"/>
  <c r="K78" i="2"/>
  <c r="M78" i="2" s="1"/>
  <c r="P78" i="2" s="1"/>
  <c r="J78" i="2"/>
  <c r="I78" i="2"/>
  <c r="D78" i="2"/>
  <c r="B78" i="2"/>
  <c r="AB77" i="2"/>
  <c r="AA77" i="2"/>
  <c r="R77" i="2"/>
  <c r="Q77" i="2"/>
  <c r="K77" i="2"/>
  <c r="M77" i="2" s="1"/>
  <c r="P77" i="2" s="1"/>
  <c r="J77" i="2"/>
  <c r="I77" i="2"/>
  <c r="D77" i="2"/>
  <c r="B77" i="2"/>
  <c r="AB76" i="2"/>
  <c r="AA76" i="2"/>
  <c r="R76" i="2"/>
  <c r="Q76" i="2"/>
  <c r="K76" i="2"/>
  <c r="M76" i="2" s="1"/>
  <c r="P76" i="2" s="1"/>
  <c r="J76" i="2"/>
  <c r="I76" i="2"/>
  <c r="D76" i="2"/>
  <c r="B76" i="2"/>
  <c r="AB75" i="2"/>
  <c r="AA75" i="2"/>
  <c r="R75" i="2"/>
  <c r="Q75" i="2"/>
  <c r="K75" i="2"/>
  <c r="M75" i="2" s="1"/>
  <c r="P75" i="2" s="1"/>
  <c r="J75" i="2"/>
  <c r="I75" i="2"/>
  <c r="D75" i="2"/>
  <c r="B75" i="2"/>
  <c r="AB74" i="2"/>
  <c r="AA74" i="2"/>
  <c r="R74" i="2"/>
  <c r="Q74" i="2"/>
  <c r="K74" i="2"/>
  <c r="M74" i="2" s="1"/>
  <c r="P74" i="2" s="1"/>
  <c r="J74" i="2"/>
  <c r="I74" i="2"/>
  <c r="D74" i="2"/>
  <c r="B74" i="2"/>
  <c r="AB73" i="2"/>
  <c r="AA73" i="2"/>
  <c r="R73" i="2"/>
  <c r="Q73" i="2"/>
  <c r="K73" i="2"/>
  <c r="M73" i="2" s="1"/>
  <c r="P73" i="2" s="1"/>
  <c r="J73" i="2"/>
  <c r="I73" i="2"/>
  <c r="D73" i="2"/>
  <c r="B73" i="2"/>
  <c r="AB72" i="2"/>
  <c r="AA72" i="2"/>
  <c r="R72" i="2"/>
  <c r="Q72" i="2"/>
  <c r="K72" i="2"/>
  <c r="M72" i="2" s="1"/>
  <c r="P72" i="2" s="1"/>
  <c r="J72" i="2"/>
  <c r="I72" i="2"/>
  <c r="D72" i="2"/>
  <c r="B72" i="2"/>
  <c r="AB71" i="2"/>
  <c r="AA71" i="2"/>
  <c r="R71" i="2"/>
  <c r="Q71" i="2"/>
  <c r="K71" i="2"/>
  <c r="M71" i="2" s="1"/>
  <c r="P71" i="2" s="1"/>
  <c r="J71" i="2"/>
  <c r="I71" i="2"/>
  <c r="D71" i="2"/>
  <c r="B71" i="2"/>
  <c r="AB70" i="2"/>
  <c r="AA70" i="2"/>
  <c r="R70" i="2"/>
  <c r="Q70" i="2"/>
  <c r="K70" i="2"/>
  <c r="M70" i="2" s="1"/>
  <c r="P70" i="2" s="1"/>
  <c r="J70" i="2"/>
  <c r="I70" i="2"/>
  <c r="D70" i="2"/>
  <c r="B70" i="2"/>
  <c r="AB69" i="2"/>
  <c r="AA69" i="2"/>
  <c r="R69" i="2"/>
  <c r="Q69" i="2"/>
  <c r="K69" i="2"/>
  <c r="M69" i="2" s="1"/>
  <c r="P69" i="2" s="1"/>
  <c r="J69" i="2"/>
  <c r="I69" i="2"/>
  <c r="D69" i="2"/>
  <c r="B69" i="2"/>
  <c r="AB68" i="2"/>
  <c r="AA68" i="2"/>
  <c r="R68" i="2"/>
  <c r="Q68" i="2"/>
  <c r="K68" i="2"/>
  <c r="M68" i="2" s="1"/>
  <c r="P68" i="2" s="1"/>
  <c r="J68" i="2"/>
  <c r="I68" i="2"/>
  <c r="D68" i="2"/>
  <c r="B68" i="2"/>
  <c r="AB67" i="2"/>
  <c r="AA67" i="2"/>
  <c r="R67" i="2"/>
  <c r="Q67" i="2"/>
  <c r="K67" i="2"/>
  <c r="M67" i="2" s="1"/>
  <c r="P67" i="2" s="1"/>
  <c r="J67" i="2"/>
  <c r="I67" i="2"/>
  <c r="D67" i="2"/>
  <c r="B67" i="2"/>
  <c r="AB66" i="2"/>
  <c r="AA66" i="2"/>
  <c r="R66" i="2"/>
  <c r="Q66" i="2"/>
  <c r="K66" i="2"/>
  <c r="M66" i="2" s="1"/>
  <c r="P66" i="2" s="1"/>
  <c r="J66" i="2"/>
  <c r="I66" i="2"/>
  <c r="D66" i="2"/>
  <c r="B66" i="2"/>
  <c r="AB65" i="2"/>
  <c r="AA65" i="2"/>
  <c r="R65" i="2"/>
  <c r="Q65" i="2"/>
  <c r="K65" i="2"/>
  <c r="M65" i="2" s="1"/>
  <c r="P65" i="2" s="1"/>
  <c r="J65" i="2"/>
  <c r="I65" i="2"/>
  <c r="D65" i="2"/>
  <c r="B65" i="2"/>
  <c r="AB64" i="2"/>
  <c r="AA64" i="2"/>
  <c r="R64" i="2"/>
  <c r="Q64" i="2"/>
  <c r="K64" i="2"/>
  <c r="M64" i="2" s="1"/>
  <c r="P64" i="2" s="1"/>
  <c r="J64" i="2"/>
  <c r="I64" i="2"/>
  <c r="D64" i="2"/>
  <c r="B64" i="2"/>
  <c r="AB63" i="2"/>
  <c r="AA63" i="2"/>
  <c r="R63" i="2"/>
  <c r="Q63" i="2"/>
  <c r="K63" i="2"/>
  <c r="M63" i="2" s="1"/>
  <c r="P63" i="2" s="1"/>
  <c r="J63" i="2"/>
  <c r="I63" i="2"/>
  <c r="D63" i="2"/>
  <c r="B63" i="2"/>
  <c r="AB62" i="2"/>
  <c r="AA62" i="2"/>
  <c r="R62" i="2"/>
  <c r="Q62" i="2"/>
  <c r="K62" i="2"/>
  <c r="M62" i="2" s="1"/>
  <c r="P62" i="2" s="1"/>
  <c r="D24" i="1" s="1"/>
  <c r="J62" i="2"/>
  <c r="I62" i="2"/>
  <c r="D62" i="2"/>
  <c r="B62" i="2"/>
  <c r="AB61" i="2"/>
  <c r="AA61" i="2"/>
  <c r="R61" i="2"/>
  <c r="Q61" i="2"/>
  <c r="K61" i="2"/>
  <c r="M61" i="2" s="1"/>
  <c r="P61" i="2" s="1"/>
  <c r="J61" i="2"/>
  <c r="I61" i="2"/>
  <c r="D61" i="2"/>
  <c r="B61" i="2"/>
  <c r="AB60" i="2"/>
  <c r="AA60" i="2"/>
  <c r="R60" i="2"/>
  <c r="Q60" i="2"/>
  <c r="K60" i="2"/>
  <c r="M60" i="2" s="1"/>
  <c r="P60" i="2" s="1"/>
  <c r="J60" i="2"/>
  <c r="I60" i="2"/>
  <c r="D60" i="2"/>
  <c r="B60" i="2"/>
  <c r="AB59" i="2"/>
  <c r="AA59" i="2"/>
  <c r="R59" i="2"/>
  <c r="Q59" i="2"/>
  <c r="K59" i="2"/>
  <c r="M59" i="2" s="1"/>
  <c r="P59" i="2" s="1"/>
  <c r="J59" i="2"/>
  <c r="I59" i="2"/>
  <c r="D59" i="2"/>
  <c r="B59" i="2"/>
  <c r="AB58" i="2"/>
  <c r="AA58" i="2"/>
  <c r="R58" i="2"/>
  <c r="Q58" i="2"/>
  <c r="K58" i="2"/>
  <c r="M58" i="2" s="1"/>
  <c r="P58" i="2" s="1"/>
  <c r="J58" i="2"/>
  <c r="I58" i="2"/>
  <c r="D58" i="2"/>
  <c r="B58" i="2"/>
  <c r="AB57" i="2"/>
  <c r="AA57" i="2"/>
  <c r="R57" i="2"/>
  <c r="Q57" i="2"/>
  <c r="K57" i="2"/>
  <c r="M57" i="2" s="1"/>
  <c r="P57" i="2" s="1"/>
  <c r="J57" i="2"/>
  <c r="I57" i="2"/>
  <c r="D57" i="2"/>
  <c r="B57" i="2"/>
  <c r="AB56" i="2"/>
  <c r="AA56" i="2"/>
  <c r="R56" i="2"/>
  <c r="Q56" i="2"/>
  <c r="K56" i="2"/>
  <c r="M56" i="2" s="1"/>
  <c r="P56" i="2" s="1"/>
  <c r="J56" i="2"/>
  <c r="I56" i="2"/>
  <c r="D56" i="2"/>
  <c r="B56" i="2"/>
  <c r="AB55" i="2"/>
  <c r="AA55" i="2"/>
  <c r="R55" i="2"/>
  <c r="Q55" i="2"/>
  <c r="K55" i="2"/>
  <c r="M55" i="2" s="1"/>
  <c r="P55" i="2" s="1"/>
  <c r="J55" i="2"/>
  <c r="I55" i="2"/>
  <c r="D55" i="2"/>
  <c r="B55" i="2"/>
  <c r="AB54" i="2"/>
  <c r="AA54" i="2"/>
  <c r="R54" i="2"/>
  <c r="Q54" i="2"/>
  <c r="K54" i="2"/>
  <c r="M54" i="2" s="1"/>
  <c r="P54" i="2" s="1"/>
  <c r="J54" i="2"/>
  <c r="I54" i="2"/>
  <c r="D54" i="2"/>
  <c r="B54" i="2"/>
  <c r="AB53" i="2"/>
  <c r="AA53" i="2"/>
  <c r="R53" i="2"/>
  <c r="Q53" i="2"/>
  <c r="K53" i="2"/>
  <c r="M53" i="2" s="1"/>
  <c r="P53" i="2" s="1"/>
  <c r="J53" i="2"/>
  <c r="I53" i="2"/>
  <c r="D53" i="2"/>
  <c r="B53" i="2"/>
  <c r="AB52" i="2"/>
  <c r="AA52" i="2"/>
  <c r="R52" i="2"/>
  <c r="Q52" i="2"/>
  <c r="K52" i="2"/>
  <c r="M52" i="2" s="1"/>
  <c r="P52" i="2" s="1"/>
  <c r="J52" i="2"/>
  <c r="I52" i="2"/>
  <c r="D52" i="2"/>
  <c r="B52" i="2"/>
  <c r="AB51" i="2"/>
  <c r="AA51" i="2"/>
  <c r="R51" i="2"/>
  <c r="Q51" i="2"/>
  <c r="K51" i="2"/>
  <c r="M51" i="2" s="1"/>
  <c r="P51" i="2" s="1"/>
  <c r="J51" i="2"/>
  <c r="I51" i="2"/>
  <c r="D51" i="2"/>
  <c r="B51" i="2"/>
  <c r="AB50" i="2"/>
  <c r="AA50" i="2"/>
  <c r="R50" i="2"/>
  <c r="Q50" i="2"/>
  <c r="K50" i="2"/>
  <c r="M50" i="2" s="1"/>
  <c r="P50" i="2" s="1"/>
  <c r="J50" i="2"/>
  <c r="I50" i="2"/>
  <c r="D50" i="2"/>
  <c r="B50" i="2"/>
  <c r="AB49" i="2"/>
  <c r="AA49" i="2"/>
  <c r="R49" i="2"/>
  <c r="Q49" i="2"/>
  <c r="K49" i="2"/>
  <c r="M49" i="2" s="1"/>
  <c r="P49" i="2" s="1"/>
  <c r="J49" i="2"/>
  <c r="I49" i="2"/>
  <c r="D49" i="2"/>
  <c r="B49" i="2"/>
  <c r="AB48" i="2"/>
  <c r="AA48" i="2"/>
  <c r="R48" i="2"/>
  <c r="Q48" i="2"/>
  <c r="K48" i="2"/>
  <c r="M48" i="2" s="1"/>
  <c r="P48" i="2" s="1"/>
  <c r="J48" i="2"/>
  <c r="I48" i="2"/>
  <c r="D48" i="2"/>
  <c r="B48" i="2"/>
  <c r="AB47" i="2"/>
  <c r="AA47" i="2"/>
  <c r="R47" i="2"/>
  <c r="Q47" i="2"/>
  <c r="K47" i="2"/>
  <c r="M47" i="2" s="1"/>
  <c r="P47" i="2" s="1"/>
  <c r="J47" i="2"/>
  <c r="I47" i="2"/>
  <c r="D47" i="2"/>
  <c r="B47" i="2"/>
  <c r="AB46" i="2"/>
  <c r="AA46" i="2"/>
  <c r="R46" i="2"/>
  <c r="Q46" i="2"/>
  <c r="K46" i="2"/>
  <c r="M46" i="2" s="1"/>
  <c r="P46" i="2" s="1"/>
  <c r="J46" i="2"/>
  <c r="I46" i="2"/>
  <c r="D46" i="2"/>
  <c r="B46" i="2"/>
  <c r="AB45" i="2"/>
  <c r="AA45" i="2"/>
  <c r="R45" i="2"/>
  <c r="Q45" i="2"/>
  <c r="K45" i="2"/>
  <c r="M45" i="2" s="1"/>
  <c r="P45" i="2" s="1"/>
  <c r="J45" i="2"/>
  <c r="I45" i="2"/>
  <c r="D45" i="2"/>
  <c r="B45" i="2"/>
  <c r="AB44" i="2"/>
  <c r="AA44" i="2"/>
  <c r="R44" i="2"/>
  <c r="Q44" i="2"/>
  <c r="K44" i="2"/>
  <c r="M44" i="2" s="1"/>
  <c r="P44" i="2" s="1"/>
  <c r="J44" i="2"/>
  <c r="I44" i="2"/>
  <c r="D44" i="2"/>
  <c r="B44" i="2"/>
  <c r="AB43" i="2"/>
  <c r="AA43" i="2"/>
  <c r="R43" i="2"/>
  <c r="Q43" i="2"/>
  <c r="K43" i="2"/>
  <c r="M43" i="2" s="1"/>
  <c r="P43" i="2" s="1"/>
  <c r="J43" i="2"/>
  <c r="I43" i="2"/>
  <c r="D43" i="2"/>
  <c r="B43" i="2"/>
  <c r="AB42" i="2"/>
  <c r="AA42" i="2"/>
  <c r="R42" i="2"/>
  <c r="Q42" i="2"/>
  <c r="K42" i="2"/>
  <c r="M42" i="2" s="1"/>
  <c r="P42" i="2" s="1"/>
  <c r="J42" i="2"/>
  <c r="I42" i="2"/>
  <c r="D42" i="2"/>
  <c r="B42" i="2"/>
  <c r="AB41" i="2"/>
  <c r="AA41" i="2"/>
  <c r="R41" i="2"/>
  <c r="Q41" i="2"/>
  <c r="K41" i="2"/>
  <c r="M41" i="2" s="1"/>
  <c r="P41" i="2" s="1"/>
  <c r="J41" i="2"/>
  <c r="I41" i="2"/>
  <c r="D41" i="2"/>
  <c r="B41" i="2"/>
  <c r="AB40" i="2"/>
  <c r="AA40" i="2"/>
  <c r="R40" i="2"/>
  <c r="Q40" i="2"/>
  <c r="K40" i="2"/>
  <c r="M40" i="2" s="1"/>
  <c r="P40" i="2" s="1"/>
  <c r="J40" i="2"/>
  <c r="I40" i="2"/>
  <c r="D40" i="2"/>
  <c r="B40" i="2"/>
  <c r="AB39" i="2"/>
  <c r="AA39" i="2"/>
  <c r="R39" i="2"/>
  <c r="Q39" i="2"/>
  <c r="K39" i="2"/>
  <c r="M39" i="2" s="1"/>
  <c r="P39" i="2" s="1"/>
  <c r="J39" i="2"/>
  <c r="I39" i="2"/>
  <c r="D39" i="2"/>
  <c r="B39" i="2"/>
  <c r="AB38" i="2"/>
  <c r="AA38" i="2"/>
  <c r="R38" i="2"/>
  <c r="Q38" i="2"/>
  <c r="K38" i="2"/>
  <c r="M38" i="2" s="1"/>
  <c r="P38" i="2" s="1"/>
  <c r="J38" i="2"/>
  <c r="I38" i="2"/>
  <c r="D38" i="2"/>
  <c r="B38" i="2"/>
  <c r="AB37" i="2"/>
  <c r="AA37" i="2"/>
  <c r="R37" i="2"/>
  <c r="Q37" i="2"/>
  <c r="K37" i="2"/>
  <c r="M37" i="2" s="1"/>
  <c r="P37" i="2" s="1"/>
  <c r="J37" i="2"/>
  <c r="I37" i="2"/>
  <c r="D37" i="2"/>
  <c r="B37" i="2"/>
  <c r="AB36" i="2"/>
  <c r="AA36" i="2"/>
  <c r="R36" i="2"/>
  <c r="Q36" i="2"/>
  <c r="K36" i="2"/>
  <c r="M36" i="2" s="1"/>
  <c r="P36" i="2" s="1"/>
  <c r="J36" i="2"/>
  <c r="I36" i="2"/>
  <c r="D36" i="2"/>
  <c r="B36" i="2"/>
  <c r="AB35" i="2"/>
  <c r="AA35" i="2"/>
  <c r="R35" i="2"/>
  <c r="Q35" i="2"/>
  <c r="K35" i="2"/>
  <c r="M35" i="2" s="1"/>
  <c r="P35" i="2" s="1"/>
  <c r="J35" i="2"/>
  <c r="I35" i="2"/>
  <c r="D35" i="2"/>
  <c r="B35" i="2"/>
  <c r="AB34" i="2"/>
  <c r="AA34" i="2"/>
  <c r="R34" i="2"/>
  <c r="Q34" i="2"/>
  <c r="K34" i="2"/>
  <c r="M34" i="2" s="1"/>
  <c r="P34" i="2" s="1"/>
  <c r="J34" i="2"/>
  <c r="I34" i="2"/>
  <c r="D34" i="2"/>
  <c r="B34" i="2"/>
  <c r="AB33" i="2"/>
  <c r="AA33" i="2"/>
  <c r="R33" i="2"/>
  <c r="Q33" i="2"/>
  <c r="K33" i="2"/>
  <c r="M33" i="2" s="1"/>
  <c r="P33" i="2" s="1"/>
  <c r="J33" i="2"/>
  <c r="I33" i="2"/>
  <c r="D33" i="2"/>
  <c r="B33" i="2"/>
  <c r="AB32" i="2"/>
  <c r="AA32" i="2"/>
  <c r="R32" i="2"/>
  <c r="Q32" i="2"/>
  <c r="K32" i="2"/>
  <c r="M32" i="2" s="1"/>
  <c r="P32" i="2" s="1"/>
  <c r="J32" i="2"/>
  <c r="I32" i="2"/>
  <c r="D32" i="2"/>
  <c r="B32" i="2"/>
  <c r="AB31" i="2"/>
  <c r="AA31" i="2"/>
  <c r="R31" i="2"/>
  <c r="Q31" i="2"/>
  <c r="K31" i="2"/>
  <c r="M31" i="2" s="1"/>
  <c r="P31" i="2" s="1"/>
  <c r="J31" i="2"/>
  <c r="I31" i="2"/>
  <c r="D31" i="2"/>
  <c r="B31" i="2"/>
  <c r="AB30" i="2"/>
  <c r="AA30" i="2"/>
  <c r="R30" i="2"/>
  <c r="Q30" i="2"/>
  <c r="K30" i="2"/>
  <c r="M30" i="2" s="1"/>
  <c r="P30" i="2" s="1"/>
  <c r="J30" i="2"/>
  <c r="I30" i="2"/>
  <c r="D30" i="2"/>
  <c r="B30" i="2"/>
  <c r="AB29" i="2"/>
  <c r="AA29" i="2"/>
  <c r="R29" i="2"/>
  <c r="Q29" i="2"/>
  <c r="K29" i="2"/>
  <c r="M29" i="2" s="1"/>
  <c r="P29" i="2" s="1"/>
  <c r="J29" i="2"/>
  <c r="I29" i="2"/>
  <c r="D29" i="2"/>
  <c r="B29" i="2"/>
  <c r="AB28" i="2"/>
  <c r="AA28" i="2"/>
  <c r="R28" i="2"/>
  <c r="Q28" i="2"/>
  <c r="K28" i="2"/>
  <c r="M28" i="2" s="1"/>
  <c r="P28" i="2" s="1"/>
  <c r="J28" i="2"/>
  <c r="I28" i="2"/>
  <c r="D28" i="2"/>
  <c r="B28" i="2"/>
  <c r="AB27" i="2"/>
  <c r="AA27" i="2"/>
  <c r="R27" i="2"/>
  <c r="Q27" i="2"/>
  <c r="K27" i="2"/>
  <c r="M27" i="2" s="1"/>
  <c r="P27" i="2" s="1"/>
  <c r="J27" i="2"/>
  <c r="I27" i="2"/>
  <c r="D27" i="2"/>
  <c r="B27" i="2"/>
  <c r="AB26" i="2"/>
  <c r="AA26" i="2"/>
  <c r="R26" i="2"/>
  <c r="Q26" i="2"/>
  <c r="K26" i="2"/>
  <c r="M26" i="2" s="1"/>
  <c r="P26" i="2" s="1"/>
  <c r="J26" i="2"/>
  <c r="I26" i="2"/>
  <c r="D26" i="2"/>
  <c r="B26" i="2"/>
  <c r="AB25" i="2"/>
  <c r="AA25" i="2"/>
  <c r="R25" i="2"/>
  <c r="Q25" i="2"/>
  <c r="K25" i="2"/>
  <c r="M25" i="2" s="1"/>
  <c r="P25" i="2" s="1"/>
  <c r="J25" i="2"/>
  <c r="I25" i="2"/>
  <c r="D25" i="2"/>
  <c r="B25" i="2"/>
  <c r="AB24" i="2"/>
  <c r="AA24" i="2"/>
  <c r="R24" i="2"/>
  <c r="Q24" i="2"/>
  <c r="K24" i="2"/>
  <c r="M24" i="2" s="1"/>
  <c r="P24" i="2" s="1"/>
  <c r="J24" i="2"/>
  <c r="I24" i="2"/>
  <c r="D24" i="2"/>
  <c r="B24" i="2"/>
  <c r="AB23" i="2"/>
  <c r="AA23" i="2"/>
  <c r="R23" i="2"/>
  <c r="Q23" i="2"/>
  <c r="K23" i="2"/>
  <c r="M23" i="2" s="1"/>
  <c r="P23" i="2" s="1"/>
  <c r="J23" i="2"/>
  <c r="I23" i="2"/>
  <c r="D23" i="2"/>
  <c r="B23" i="2"/>
  <c r="AB22" i="2"/>
  <c r="AA22" i="2"/>
  <c r="R22" i="2"/>
  <c r="Q22" i="2"/>
  <c r="K22" i="2"/>
  <c r="M22" i="2" s="1"/>
  <c r="P22" i="2" s="1"/>
  <c r="J22" i="2"/>
  <c r="I22" i="2"/>
  <c r="D22" i="2"/>
  <c r="B22" i="2"/>
  <c r="AB21" i="2"/>
  <c r="AA21" i="2"/>
  <c r="R21" i="2"/>
  <c r="Q21" i="2"/>
  <c r="K21" i="2"/>
  <c r="M21" i="2" s="1"/>
  <c r="P21" i="2" s="1"/>
  <c r="J21" i="2"/>
  <c r="I21" i="2"/>
  <c r="D21" i="2"/>
  <c r="B21" i="2"/>
  <c r="AB20" i="2"/>
  <c r="AA20" i="2"/>
  <c r="R20" i="2"/>
  <c r="Q20" i="2"/>
  <c r="K20" i="2"/>
  <c r="M20" i="2" s="1"/>
  <c r="P20" i="2" s="1"/>
  <c r="J20" i="2"/>
  <c r="I20" i="2"/>
  <c r="D20" i="2"/>
  <c r="B20" i="2"/>
  <c r="AB19" i="2"/>
  <c r="AA19" i="2"/>
  <c r="R19" i="2"/>
  <c r="Q19" i="2"/>
  <c r="K19" i="2"/>
  <c r="M19" i="2" s="1"/>
  <c r="P19" i="2" s="1"/>
  <c r="J19" i="2"/>
  <c r="I19" i="2"/>
  <c r="D19" i="2"/>
  <c r="B19" i="2"/>
  <c r="AB18" i="2"/>
  <c r="AA18" i="2"/>
  <c r="R18" i="2"/>
  <c r="Q18" i="2"/>
  <c r="K18" i="2"/>
  <c r="M18" i="2" s="1"/>
  <c r="P18" i="2" s="1"/>
  <c r="J18" i="2"/>
  <c r="I18" i="2"/>
  <c r="D18" i="2"/>
  <c r="B18" i="2"/>
  <c r="AB17" i="2"/>
  <c r="AA17" i="2"/>
  <c r="R17" i="2"/>
  <c r="Q17" i="2"/>
  <c r="K17" i="2"/>
  <c r="M17" i="2" s="1"/>
  <c r="P17" i="2" s="1"/>
  <c r="J17" i="2"/>
  <c r="I17" i="2"/>
  <c r="D17" i="2"/>
  <c r="B17" i="2"/>
  <c r="AB16" i="2"/>
  <c r="AA16" i="2"/>
  <c r="R16" i="2"/>
  <c r="Q16" i="2"/>
  <c r="K16" i="2"/>
  <c r="M16" i="2" s="1"/>
  <c r="P16" i="2" s="1"/>
  <c r="J16" i="2"/>
  <c r="I16" i="2"/>
  <c r="D16" i="2"/>
  <c r="B16" i="2"/>
  <c r="AB15" i="2"/>
  <c r="AA15" i="2"/>
  <c r="R15" i="2"/>
  <c r="Q15" i="2"/>
  <c r="K15" i="2"/>
  <c r="M15" i="2" s="1"/>
  <c r="P15" i="2" s="1"/>
  <c r="J15" i="2"/>
  <c r="I15" i="2"/>
  <c r="D15" i="2"/>
  <c r="B15" i="2"/>
  <c r="AB14" i="2"/>
  <c r="AA14" i="2"/>
  <c r="R14" i="2"/>
  <c r="Q14" i="2"/>
  <c r="K14" i="2"/>
  <c r="M14" i="2" s="1"/>
  <c r="P14" i="2" s="1"/>
  <c r="J14" i="2"/>
  <c r="I14" i="2"/>
  <c r="D14" i="2"/>
  <c r="B14" i="2"/>
  <c r="AB13" i="2"/>
  <c r="AA13" i="2"/>
  <c r="R13" i="2"/>
  <c r="Q13" i="2"/>
  <c r="K13" i="2"/>
  <c r="M13" i="2" s="1"/>
  <c r="P13" i="2" s="1"/>
  <c r="J13" i="2"/>
  <c r="I13" i="2"/>
  <c r="D13" i="2"/>
  <c r="B13" i="2"/>
  <c r="AB12" i="2"/>
  <c r="AA12" i="2"/>
  <c r="R12" i="2"/>
  <c r="Q12" i="2"/>
  <c r="K12" i="2"/>
  <c r="M12" i="2" s="1"/>
  <c r="P12" i="2" s="1"/>
  <c r="J12" i="2"/>
  <c r="I12" i="2"/>
  <c r="D12" i="2"/>
  <c r="B12" i="2"/>
  <c r="AB11" i="2"/>
  <c r="AA11" i="2"/>
  <c r="R11" i="2"/>
  <c r="Q11" i="2"/>
  <c r="K11" i="2"/>
  <c r="M11" i="2" s="1"/>
  <c r="P11" i="2" s="1"/>
  <c r="J11" i="2"/>
  <c r="I11" i="2"/>
  <c r="D11" i="2"/>
  <c r="B11" i="2"/>
  <c r="AB10" i="2"/>
  <c r="AA10" i="2"/>
  <c r="R10" i="2"/>
  <c r="Q10" i="2"/>
  <c r="K10" i="2"/>
  <c r="M10" i="2" s="1"/>
  <c r="P10" i="2" s="1"/>
  <c r="J10" i="2"/>
  <c r="I10" i="2"/>
  <c r="D10" i="2"/>
  <c r="B10" i="2"/>
  <c r="AB9" i="2"/>
  <c r="AA9" i="2"/>
  <c r="R9" i="2"/>
  <c r="Q9" i="2"/>
  <c r="K9" i="2"/>
  <c r="M9" i="2" s="1"/>
  <c r="P9" i="2" s="1"/>
  <c r="J9" i="2"/>
  <c r="I9" i="2"/>
  <c r="D9" i="2"/>
  <c r="B9" i="2"/>
  <c r="AB8" i="2"/>
  <c r="AA8" i="2"/>
  <c r="R8" i="2"/>
  <c r="Q8" i="2"/>
  <c r="K8" i="2"/>
  <c r="M8" i="2" s="1"/>
  <c r="P8" i="2" s="1"/>
  <c r="J8" i="2"/>
  <c r="I8" i="2"/>
  <c r="D8" i="2"/>
  <c r="B8" i="2"/>
  <c r="AB7" i="2"/>
  <c r="AA7" i="2"/>
  <c r="R7" i="2"/>
  <c r="Q7" i="2"/>
  <c r="K7" i="2"/>
  <c r="M7" i="2" s="1"/>
  <c r="P7" i="2" s="1"/>
  <c r="J7" i="2"/>
  <c r="I7" i="2"/>
  <c r="D7" i="2"/>
  <c r="B7" i="2"/>
  <c r="AB6" i="2"/>
  <c r="AA6" i="2"/>
  <c r="R6" i="2"/>
  <c r="Q6" i="2"/>
  <c r="K6" i="2"/>
  <c r="M6" i="2" s="1"/>
  <c r="P6" i="2" s="1"/>
  <c r="J6" i="2"/>
  <c r="I6" i="2"/>
  <c r="D6" i="2"/>
  <c r="B6" i="2"/>
  <c r="AB5" i="2"/>
  <c r="AA5" i="2"/>
  <c r="R5" i="2"/>
  <c r="Q5" i="2"/>
  <c r="K5" i="2"/>
  <c r="M5" i="2" s="1"/>
  <c r="P5" i="2" s="1"/>
  <c r="J5" i="2"/>
  <c r="I5" i="2"/>
  <c r="D5" i="2"/>
  <c r="B5" i="2"/>
  <c r="AB4" i="2"/>
  <c r="AA4" i="2"/>
  <c r="R4" i="2"/>
  <c r="Q4" i="2"/>
  <c r="K4" i="2"/>
  <c r="M4" i="2" s="1"/>
  <c r="P4" i="2" s="1"/>
  <c r="J4" i="2"/>
  <c r="I4" i="2"/>
  <c r="D4" i="2"/>
  <c r="B4" i="2"/>
  <c r="AB3" i="2"/>
  <c r="AA3" i="2"/>
  <c r="R3" i="2"/>
  <c r="Q3" i="2"/>
  <c r="K3" i="2"/>
  <c r="P3" i="2" s="1"/>
  <c r="J3" i="2"/>
  <c r="I3" i="2"/>
  <c r="D3" i="2"/>
  <c r="B3" i="2"/>
  <c r="AB2" i="2"/>
  <c r="AA2" i="2"/>
  <c r="R2" i="2"/>
  <c r="Q2" i="2"/>
  <c r="K2" i="2"/>
  <c r="P2" i="2" s="1"/>
  <c r="J2" i="2"/>
  <c r="I2" i="2"/>
  <c r="B2" i="2"/>
  <c r="C71" i="1"/>
  <c r="C70" i="1"/>
  <c r="B70" i="1"/>
  <c r="D70" i="1" s="1"/>
  <c r="C69" i="1"/>
  <c r="B69" i="1"/>
  <c r="D69" i="1" s="1"/>
  <c r="C68" i="1"/>
  <c r="B68" i="1"/>
  <c r="D68" i="1" s="1"/>
  <c r="C67" i="1"/>
  <c r="B67" i="1"/>
  <c r="C60" i="1"/>
  <c r="C59" i="1"/>
  <c r="C45" i="1"/>
  <c r="C44" i="1"/>
  <c r="C43" i="1"/>
  <c r="C46" i="1" s="1"/>
  <c r="C30" i="1"/>
  <c r="B30" i="1"/>
  <c r="C29" i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C31" i="1" s="1"/>
  <c r="B19" i="1"/>
  <c r="B9" i="1"/>
  <c r="B8" i="1"/>
  <c r="B7" i="1"/>
  <c r="B6" i="1"/>
  <c r="C57" i="1" l="1"/>
  <c r="C58" i="1"/>
  <c r="C15" i="1"/>
  <c r="C14" i="1"/>
  <c r="C7" i="1"/>
  <c r="C6" i="1"/>
  <c r="C8" i="1"/>
  <c r="C9" i="1"/>
  <c r="C36" i="1"/>
  <c r="C37" i="1"/>
  <c r="C35" i="1"/>
  <c r="C38" i="1"/>
  <c r="D30" i="1"/>
  <c r="E70" i="1"/>
  <c r="E69" i="1"/>
  <c r="D29" i="1"/>
  <c r="D38" i="1"/>
  <c r="D28" i="1"/>
  <c r="E28" i="1" s="1"/>
  <c r="D37" i="1"/>
  <c r="D25" i="1"/>
  <c r="D22" i="1"/>
  <c r="D36" i="1"/>
  <c r="E67" i="1"/>
  <c r="D20" i="1"/>
  <c r="D50" i="1"/>
  <c r="D8" i="1"/>
  <c r="D57" i="1"/>
  <c r="D58" i="1"/>
  <c r="E50" i="1"/>
  <c r="D9" i="1"/>
  <c r="D15" i="1"/>
  <c r="D60" i="1"/>
  <c r="D7" i="1"/>
  <c r="C50" i="1"/>
  <c r="D45" i="1"/>
  <c r="B52" i="1"/>
  <c r="B51" i="1"/>
  <c r="D44" i="1"/>
  <c r="E68" i="1"/>
  <c r="D43" i="1"/>
  <c r="D59" i="1"/>
  <c r="D19" i="1"/>
  <c r="B50" i="1"/>
  <c r="D6" i="1"/>
  <c r="D14" i="1"/>
  <c r="D35" i="1"/>
  <c r="D67" i="1"/>
  <c r="B71" i="1"/>
  <c r="E27" i="1"/>
  <c r="D23" i="1"/>
  <c r="D21" i="1"/>
  <c r="E21" i="1" s="1"/>
  <c r="D52" i="1"/>
  <c r="D51" i="1"/>
  <c r="E52" i="1"/>
  <c r="E51" i="1"/>
  <c r="C52" i="1"/>
  <c r="C51" i="1"/>
  <c r="E38" i="1" l="1"/>
  <c r="E37" i="1"/>
  <c r="E26" i="1"/>
  <c r="E25" i="1"/>
  <c r="E36" i="1"/>
  <c r="F8" i="1"/>
  <c r="F57" i="1"/>
  <c r="D61" i="1"/>
  <c r="B62" i="1"/>
  <c r="B63" i="1"/>
  <c r="E58" i="1"/>
  <c r="F58" i="1"/>
  <c r="F9" i="1"/>
  <c r="F60" i="1"/>
  <c r="F7" i="1"/>
  <c r="F45" i="1"/>
  <c r="F44" i="1"/>
  <c r="F43" i="1"/>
  <c r="D46" i="1"/>
  <c r="E59" i="1"/>
  <c r="F59" i="1"/>
  <c r="F50" i="1"/>
  <c r="B53" i="1"/>
  <c r="F6" i="1"/>
  <c r="D10" i="1"/>
  <c r="E9" i="1" s="1"/>
  <c r="D39" i="1"/>
  <c r="E24" i="1"/>
  <c r="E23" i="1"/>
  <c r="C61" i="1"/>
  <c r="E30" i="1"/>
  <c r="C53" i="1"/>
  <c r="C10" i="1"/>
  <c r="E22" i="1"/>
  <c r="E53" i="1"/>
  <c r="D31" i="1"/>
  <c r="C39" i="1"/>
  <c r="E29" i="1"/>
  <c r="F51" i="1"/>
  <c r="E71" i="1"/>
  <c r="E20" i="1"/>
  <c r="D53" i="1"/>
  <c r="F52" i="1"/>
  <c r="E57" i="1" l="1"/>
  <c r="E61" i="1" s="1"/>
  <c r="E60" i="1"/>
  <c r="E15" i="1"/>
  <c r="E14" i="1"/>
  <c r="F53" i="1"/>
  <c r="E45" i="1"/>
  <c r="E43" i="1"/>
  <c r="E44" i="1"/>
  <c r="E8" i="1"/>
  <c r="E7" i="1"/>
  <c r="E6" i="1"/>
  <c r="F38" i="1"/>
  <c r="F37" i="1"/>
  <c r="F36" i="1"/>
  <c r="F35" i="1"/>
  <c r="F39" i="1" s="1"/>
  <c r="E46" i="1" l="1"/>
  <c r="E10" i="1"/>
</calcChain>
</file>

<file path=xl/sharedStrings.xml><?xml version="1.0" encoding="utf-8"?>
<sst xmlns="http://schemas.openxmlformats.org/spreadsheetml/2006/main" count="3652" uniqueCount="169">
  <si>
    <t>Mobility Sales Analysis (all figures USD, after discounts)</t>
  </si>
  <si>
    <t>Summary tables are SUMIFS/COUNTIFS formulas over Clean Data, so they recalculate. No refund or expense data exists in the source, so Total Sales = Units x USD price x (1 - discount).</t>
  </si>
  <si>
    <t>1. Sales by region</t>
  </si>
  <si>
    <t>Country</t>
  </si>
  <si>
    <t>Continent</t>
  </si>
  <si>
    <t>Units Sold</t>
  </si>
  <si>
    <t>Total Sales (USD)</t>
  </si>
  <si>
    <t>Share of Sales</t>
  </si>
  <si>
    <t>Rank</t>
  </si>
  <si>
    <t>India</t>
  </si>
  <si>
    <t>China</t>
  </si>
  <si>
    <t>France</t>
  </si>
  <si>
    <t>Germany</t>
  </si>
  <si>
    <t>Total</t>
  </si>
  <si>
    <t xml:space="preserve">   By continent</t>
  </si>
  <si>
    <t>Asia</t>
  </si>
  <si>
    <t>Europe</t>
  </si>
  <si>
    <t>2. Monthly sales trend</t>
  </si>
  <si>
    <t>Month</t>
  </si>
  <si>
    <t>Quarter</t>
  </si>
  <si>
    <t>MoM Change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</si>
  <si>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</si>
  <si>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</si>
  <si>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</si>
  <si>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</si>
  <si>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</si>
  <si>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</si>
  <si>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</si>
  <si>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</si>
  <si>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</si>
  <si>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</si>
  <si>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</si>
  <si>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</si>
  <si>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3. Quarterly performance</t>
  </si>
  <si>
    <t>QoQ Change</t>
  </si>
  <si>
    <t>Q1</t>
  </si>
  <si>
    <t>Q2</t>
  </si>
  <si>
    <t>Q3</t>
  </si>
  <si>
    <t>Q4</t>
  </si>
  <si>
    <t>4. Top product types</t>
  </si>
  <si>
    <t>Product Type</t>
  </si>
  <si>
    <t>Electric Unicycle</t>
  </si>
  <si>
    <t>Electric Scooter</t>
  </si>
  <si>
    <t>Electric Skateboard</t>
  </si>
  <si>
    <t>5. Total sales by product type and region (USD)</t>
  </si>
  <si>
    <t>6. Sales representative performance</t>
  </si>
  <si>
    <t>Rep Name</t>
  </si>
  <si>
    <t>Bernard, Théo</t>
  </si>
  <si>
    <t>Fischer, Jonas</t>
  </si>
  <si>
    <t>Joshi, Sanya</t>
  </si>
  <si>
    <t>Liu, Fang</t>
  </si>
  <si>
    <t>Lowest-selling rep</t>
  </si>
  <si>
    <t>Top-selling rep</t>
  </si>
  <si>
    <t>7. Impact of discounts on units sold</t>
  </si>
  <si>
    <t>Discount (%)</t>
  </si>
  <si>
    <t>Orders</t>
  </si>
  <si>
    <t>Avg Units per Order</t>
  </si>
  <si>
    <t>Note: no expense data in the source, so a revenue-vs-expenses chart is not possible; quarterly revenue is shown in section 3.</t>
  </si>
  <si>
    <t>Sales Rep ID</t>
  </si>
  <si>
    <t>Rep Name (Last, First)</t>
  </si>
  <si>
    <t>Street</t>
  </si>
  <si>
    <t>City</t>
  </si>
  <si>
    <t>Postal Code</t>
  </si>
  <si>
    <t>Currency</t>
  </si>
  <si>
    <t>Unit Price (Local)</t>
  </si>
  <si>
    <t>Unit Price (USD)</t>
  </si>
  <si>
    <t>Speed Range (km/h)</t>
  </si>
  <si>
    <t>Distance (km)</t>
  </si>
  <si>
    <t>Rep First Name</t>
  </si>
  <si>
    <t>Rep Last Name</t>
  </si>
  <si>
    <t>Min Speed (orig)</t>
  </si>
  <si>
    <t>Speed (orig)</t>
  </si>
  <si>
    <t>Distance (orig)</t>
  </si>
  <si>
    <t>Shipping Address (orig)</t>
  </si>
  <si>
    <t>Country Code (orig)</t>
  </si>
  <si>
    <t>Unit Price (orig)</t>
  </si>
  <si>
    <t>Min Speed (mph, filled)</t>
  </si>
  <si>
    <t>Top Speed (mph)</t>
  </si>
  <si>
    <t>Legend</t>
  </si>
  <si>
    <t>456 Brigade Road</t>
  </si>
  <si>
    <t>Bengaluru</t>
  </si>
  <si>
    <t>560001</t>
  </si>
  <si>
    <t>Sanya</t>
  </si>
  <si>
    <t>Joshi</t>
  </si>
  <si>
    <t>15 mph</t>
  </si>
  <si>
    <t>30 mph</t>
  </si>
  <si>
    <t>30 miles</t>
  </si>
  <si>
    <t>456 Brigade Road, Bengaluru, 560001</t>
  </si>
  <si>
    <t>IN</t>
  </si>
  <si>
    <t>₹30,000</t>
  </si>
  <si>
    <t>Orange speed range = Min Speed was blank; filled with the standard for that product type</t>
  </si>
  <si>
    <t>457 Brigade Road</t>
  </si>
  <si>
    <t>20 mph</t>
  </si>
  <si>
    <t>35 mph</t>
  </si>
  <si>
    <t>40 miles</t>
  </si>
  <si>
    <t>457 Brigade Road, Bengaluru, 560001</t>
  </si>
  <si>
    <t>₹25,000</t>
  </si>
  <si>
    <t>Yellow discount = 15% or more</t>
  </si>
  <si>
    <t>458 Brigade Road</t>
  </si>
  <si>
    <t>18 mph</t>
  </si>
  <si>
    <t>28 mph</t>
  </si>
  <si>
    <t>25 miles</t>
  </si>
  <si>
    <t>458 Brigade Road, Bengaluru, 560001</t>
  </si>
  <si>
    <t>₹22,000</t>
  </si>
  <si>
    <t>Hidden columns S:AB hold the original fields and conversion helpers (unhide to audit)</t>
  </si>
  <si>
    <t>99 Nanjing Road</t>
  </si>
  <si>
    <t>Shanghai</t>
  </si>
  <si>
    <t>200001</t>
  </si>
  <si>
    <t>Fang</t>
  </si>
  <si>
    <t>Liu</t>
  </si>
  <si>
    <t>99 Nanjing Road, Shanghai, 200001</t>
  </si>
  <si>
    <t>CN</t>
  </si>
  <si>
    <t>¥5,000</t>
  </si>
  <si>
    <t>100 Nanjing Road</t>
  </si>
  <si>
    <t>100 Nanjing Road, Shanghai, 200001</t>
  </si>
  <si>
    <t>¥3,500</t>
  </si>
  <si>
    <t>101 Nanjing Road</t>
  </si>
  <si>
    <t>40,230 meters</t>
  </si>
  <si>
    <t>101 Nanjing Road, Shanghai, 200001</t>
  </si>
  <si>
    <t>¥4,200</t>
  </si>
  <si>
    <t>303 Ringstraße</t>
  </si>
  <si>
    <t>Hamburg</t>
  </si>
  <si>
    <t>20095</t>
  </si>
  <si>
    <t>Jonas</t>
  </si>
  <si>
    <t>Fischer</t>
  </si>
  <si>
    <t>48,280 meters</t>
  </si>
  <si>
    <t>303 Ringstraße, Hamburg, 20095</t>
  </si>
  <si>
    <t>DE</t>
  </si>
  <si>
    <t>€1000</t>
  </si>
  <si>
    <t>304 Ringstraße</t>
  </si>
  <si>
    <t>304 Ringstraße, Hamburg, 20095</t>
  </si>
  <si>
    <t>€800</t>
  </si>
  <si>
    <t>305 Ringstraße</t>
  </si>
  <si>
    <t>305 Ringstraße, Hamburg, 20095</t>
  </si>
  <si>
    <t>€950</t>
  </si>
  <si>
    <t>56 Boulevard Saint-Germain</t>
  </si>
  <si>
    <t>Paris</t>
  </si>
  <si>
    <t>75005</t>
  </si>
  <si>
    <t>Théo</t>
  </si>
  <si>
    <t>Bernard</t>
  </si>
  <si>
    <t>56 Boulevard Saint-Germain, Paris, 75005</t>
  </si>
  <si>
    <t>FR</t>
  </si>
  <si>
    <t>€1100</t>
  </si>
  <si>
    <t>57 Boulevard Saint-Germain</t>
  </si>
  <si>
    <t>64,370 meters</t>
  </si>
  <si>
    <t>57 Boulevard Saint-Germain, Paris, 75005</t>
  </si>
  <si>
    <t>€900</t>
  </si>
  <si>
    <t>58 Boulevard Saint-Germain</t>
  </si>
  <si>
    <t>58 Boulevard Saint-Germain, Paris, 75005</t>
  </si>
  <si>
    <t>€1050</t>
  </si>
  <si>
    <t>Min Speed</t>
  </si>
  <si>
    <t>Speed</t>
  </si>
  <si>
    <t>Distance</t>
  </si>
  <si>
    <t>Shipping Address</t>
  </si>
  <si>
    <t>Country Code</t>
  </si>
  <si>
    <t>Unit Price</t>
  </si>
  <si>
    <t>Reference tables and assumptions (blue = editable input)</t>
  </si>
  <si>
    <t>USD per 1 unit</t>
  </si>
  <si>
    <t>Standard Min Speed (mph)</t>
  </si>
  <si>
    <t>Month (calendar order)</t>
  </si>
  <si>
    <t>Conversion</t>
  </si>
  <si>
    <t>Value</t>
  </si>
  <si>
    <t>INR</t>
  </si>
  <si>
    <t>km per mile</t>
  </si>
  <si>
    <t>CNY</t>
  </si>
  <si>
    <t>metres per km</t>
  </si>
  <si>
    <t>EUR</t>
  </si>
  <si>
    <t>Assumption: fixed illustrative exchange rates (not live). Edit G3:G5 and all USD figures update.</t>
  </si>
  <si>
    <t>Basis: every non-blank record of a product type has the same Min Speed; used to fill the 12 blanks.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</si>
</sst>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\$#,##0"/>
    <numFmt numFmtId="165" formatCode="0.0%"/>
    <numFmt numFmtId="166" formatCode="0\%"/>
    <numFmt numFmtId="167" formatCode="\₹#,##0"/>
    <numFmt numFmtId="168" formatCode="#,##0&quot; km&quot;"/>
    <numFmt numFmtId="169" formatCode="\¥#,##0"/>
    <numFmt numFmtId="170" formatCode="\€#,##0"/>
    <numFmt numFmtId="171" formatCode="0.000"/>
  </numFmts>
  <fonts count="11" x14ac:knownFonts="1">
    <font>
      <sz val="11"/>
      <color theme="1"/>
      <name val="Aptos Narrow"/>
      <charset val="1"/>
    </font>
    <font>
      <b/>
      <sz val="14"/>
      <name val="Arial"/>
      <charset val="1"/>
    </font>
    <font>
      <i/>
      <sz val="9"/>
      <name val="Arial"/>
      <charset val="1"/>
    </font>
    <font>
      <b/>
      <sz val="12"/>
      <color rgb="FF1F4E78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9"/>
      <name val="Arial"/>
      <charset val="1"/>
    </font>
    <font>
      <sz val="11"/>
      <color theme="1"/>
      <name val="Arial"/>
      <charset val="1"/>
    </font>
    <font>
      <b/>
      <sz val="12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45F82"/>
      </patternFill>
    </fill>
    <fill>
      <patternFill patternType="solid">
        <fgColor rgb="FF0070C0"/>
        <bgColor rgb="FF008080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3" fontId="6" fillId="0" borderId="1" xfId="0" applyNumberFormat="1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left" vertical="center"/>
    </xf>
    <xf numFmtId="165" fontId="6" fillId="0" borderId="1" xfId="0" applyNumberFormat="1" applyFont="1" applyBorder="1" applyAlignment="1">
      <alignment horizontal="left" vertical="center"/>
    </xf>
    <xf numFmtId="166" fontId="5" fillId="0" borderId="1" xfId="0" applyNumberFormat="1" applyFont="1" applyBorder="1" applyAlignment="1">
      <alignment horizontal="left" vertical="center"/>
    </xf>
    <xf numFmtId="0" fontId="6" fillId="0" borderId="0" xfId="0" applyFont="1"/>
    <xf numFmtId="0" fontId="5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3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0" fontId="7" fillId="0" borderId="0" xfId="0" applyFont="1"/>
    <xf numFmtId="169" fontId="5" fillId="0" borderId="0" xfId="0" applyNumberFormat="1" applyFont="1" applyAlignment="1">
      <alignment horizontal="left" vertical="center"/>
    </xf>
    <xf numFmtId="170" fontId="5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9" xfId="0" applyFont="1" applyBorder="1"/>
    <xf numFmtId="0" fontId="8" fillId="0" borderId="10" xfId="0" applyFont="1" applyBorder="1"/>
    <xf numFmtId="0" fontId="9" fillId="0" borderId="0" xfId="0" applyFont="1"/>
    <xf numFmtId="0" fontId="5" fillId="0" borderId="0" xfId="0" applyFont="1"/>
    <xf numFmtId="171" fontId="10" fillId="0" borderId="0" xfId="0" applyNumberFormat="1" applyFont="1"/>
    <xf numFmtId="0" fontId="10" fillId="0" borderId="0" xfId="0" applyFont="1"/>
  </cellXfs>
  <cellStyles count="1">
    <cellStyle name="Normal" xfId="0" builtinId="0"/>
  </cellStyles>
  <dxfs count="5"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ont>
        <b/>
        <color rgb="FF9C5700"/>
        <name val="Arial"/>
        <charset val="1"/>
      </font>
      <fill>
        <patternFill>
          <bgColor rgb="FFFFEB9C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5F82"/>
      <rgbColor rgb="FFBFBFBF"/>
      <rgbColor rgb="FF8B8B8B"/>
      <rgbColor rgb="FF9999FF"/>
      <rgbColor rgb="FF993366"/>
      <rgbColor rgb="FFFFFFCC"/>
      <rgbColor rgb="FFCCFFFF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Monthly Total Sales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'Sales Analysis'!$D$18</c:f>
              <c:strCache>
                <c:ptCount val="1"/>
                <c:pt idx="0">
                  <c:v>Total Sales (USD)</c:v>
                </c:pt>
              </c:strCache>
            </c:strRef>
          </c:tx>
          <c:spPr>
            <a:ln w="19080">
              <a:solidFill>
                <a:srgbClr val="145F82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Analysis'!$A$19:$A$30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'Sales Analysis'!$D$19:$D$30</c:f>
              <c:numCache>
                <c:formatCode>\$#,##0</c:formatCode>
                <c:ptCount val="12"/>
                <c:pt idx="0">
                  <c:v>2276478</c:v>
                </c:pt>
                <c:pt idx="1">
                  <c:v>2798320</c:v>
                </c:pt>
                <c:pt idx="2">
                  <c:v>2798320</c:v>
                </c:pt>
                <c:pt idx="3">
                  <c:v>3474980</c:v>
                </c:pt>
                <c:pt idx="4">
                  <c:v>3633440</c:v>
                </c:pt>
                <c:pt idx="5">
                  <c:v>4175700</c:v>
                </c:pt>
                <c:pt idx="6">
                  <c:v>4109420</c:v>
                </c:pt>
                <c:pt idx="7">
                  <c:v>3630200</c:v>
                </c:pt>
                <c:pt idx="8">
                  <c:v>3390740</c:v>
                </c:pt>
                <c:pt idx="9">
                  <c:v>3089540</c:v>
                </c:pt>
                <c:pt idx="10">
                  <c:v>2895678</c:v>
                </c:pt>
                <c:pt idx="11">
                  <c:v>3642224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FD-4C34-AFF6-E77D9D9E4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248394"/>
        <c:axId val="11067560"/>
      </c:lineChart>
      <c:catAx>
        <c:axId val="512483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11067560"/>
        <c:crosses val="autoZero"/>
        <c:auto val="1"/>
        <c:lblAlgn val="ctr"/>
        <c:lblOffset val="100"/>
        <c:noMultiLvlLbl val="0"/>
      </c:catAx>
      <c:valAx>
        <c:axId val="11067560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512483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Total Sales by Product Type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Analysis'!$D$42</c:f>
              <c:strCache>
                <c:ptCount val="1"/>
                <c:pt idx="0">
                  <c:v>Total Sales (USD)</c:v>
                </c:pt>
              </c:strCache>
            </c:strRef>
          </c:tx>
          <c:spPr>
            <a:solidFill>
              <a:srgbClr val="145F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Analysis'!$A$43:$A$45</c:f>
              <c:strCache>
                <c:ptCount val="3"/>
                <c:pt idx="0">
                  <c:v>Electric Unicycle</c:v>
                </c:pt>
                <c:pt idx="1">
                  <c:v>Electric Scooter</c:v>
                </c:pt>
                <c:pt idx="2">
                  <c:v>Electric Skateboard</c:v>
                </c:pt>
              </c:strCache>
            </c:strRef>
          </c:cat>
          <c:val>
            <c:numRef>
              <c:f>'Sales Analysis'!$D$43:$D$45</c:f>
              <c:numCache>
                <c:formatCode>\$#,##0</c:formatCode>
                <c:ptCount val="3"/>
                <c:pt idx="0">
                  <c:v>9994124</c:v>
                </c:pt>
                <c:pt idx="1">
                  <c:v>16384850</c:v>
                </c:pt>
                <c:pt idx="2">
                  <c:v>13536066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95-4A68-85DB-3C7F520BC6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7216678"/>
        <c:axId val="13697352"/>
      </c:barChart>
      <c:catAx>
        <c:axId val="872166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13697352"/>
        <c:crosses val="autoZero"/>
        <c:auto val="1"/>
        <c:lblAlgn val="ctr"/>
        <c:lblOffset val="100"/>
        <c:noMultiLvlLbl val="0"/>
      </c:catAx>
      <c:valAx>
        <c:axId val="1369735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8721667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Total Sales by Quarter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Analysis'!$D$34</c:f>
              <c:strCache>
                <c:ptCount val="1"/>
                <c:pt idx="0">
                  <c:v>Total Sales (USD)</c:v>
                </c:pt>
              </c:strCache>
            </c:strRef>
          </c:tx>
          <c:spPr>
            <a:solidFill>
              <a:srgbClr val="145F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Analysis'!$A$35:$A$38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'Sales Analysis'!$D$35:$D$38</c:f>
              <c:numCache>
                <c:formatCode>\$#,##0</c:formatCode>
                <c:ptCount val="4"/>
                <c:pt idx="0">
                  <c:v>7873118</c:v>
                </c:pt>
                <c:pt idx="1">
                  <c:v>11284120</c:v>
                </c:pt>
                <c:pt idx="2">
                  <c:v>11130360</c:v>
                </c:pt>
                <c:pt idx="3">
                  <c:v>9627442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FD-4ED6-B6AE-19C9EF0798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957772"/>
        <c:axId val="80625262"/>
      </c:barChart>
      <c:catAx>
        <c:axId val="199577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80625262"/>
        <c:crosses val="autoZero"/>
        <c:auto val="1"/>
        <c:lblAlgn val="ctr"/>
        <c:lblOffset val="100"/>
        <c:noMultiLvlLbl val="0"/>
      </c:catAx>
      <c:valAx>
        <c:axId val="80625262"/>
        <c:scaling>
          <c:orientation val="minMax"/>
        </c:scaling>
        <c:delete val="0"/>
        <c:axPos val="l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199577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Aptos Narrow"/>
                <a:ea typeface="Aptos Narrow"/>
              </a:rPr>
              <a:t>Total Sales by Region (USD)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Analysis'!$D$5</c:f>
              <c:strCache>
                <c:ptCount val="1"/>
                <c:pt idx="0">
                  <c:v>Total Sales (USD)</c:v>
                </c:pt>
              </c:strCache>
            </c:strRef>
          </c:tx>
          <c:spPr>
            <a:solidFill>
              <a:srgbClr val="145F82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'Sales Analysis'!$A$6:$A$9</c:f>
              <c:strCache>
                <c:ptCount val="4"/>
                <c:pt idx="0">
                  <c:v>India</c:v>
                </c:pt>
                <c:pt idx="1">
                  <c:v>China</c:v>
                </c:pt>
                <c:pt idx="2">
                  <c:v>France</c:v>
                </c:pt>
                <c:pt idx="3">
                  <c:v>Germany</c:v>
                </c:pt>
              </c:strCache>
            </c:strRef>
          </c:cat>
          <c:val>
            <c:numRef>
              <c:f>'Sales Analysis'!$D$6:$D$9</c:f>
              <c:numCache>
                <c:formatCode>\$#,##0</c:formatCode>
                <c:ptCount val="4"/>
                <c:pt idx="0">
                  <c:v>3274230</c:v>
                </c:pt>
                <c:pt idx="1">
                  <c:v>20302030</c:v>
                </c:pt>
                <c:pt idx="2">
                  <c:v>8704557</c:v>
                </c:pt>
                <c:pt idx="3">
                  <c:v>7634223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0-4224-965E-6E46067EE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592448"/>
        <c:axId val="78755461"/>
      </c:barChart>
      <c:catAx>
        <c:axId val="47592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78755461"/>
        <c:crosses val="autoZero"/>
        <c:auto val="1"/>
        <c:lblAlgn val="ctr"/>
        <c:lblOffset val="100"/>
        <c:noMultiLvlLbl val="0"/>
      </c:catAx>
      <c:valAx>
        <c:axId val="78755461"/>
        <c:scaling>
          <c:orientation val="minMax"/>
        </c:scaling>
        <c:delete val="0"/>
        <c:axPos val="b"/>
        <c:majorGridlines>
          <c:spPr>
            <a:ln w="6480">
              <a:solidFill>
                <a:srgbClr val="8B8B8B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  <a:ea typeface="Aptos Narrow"/>
              </a:defRPr>
            </a:pPr>
            <a:endParaRPr lang="en-US"/>
          </a:p>
        </c:txPr>
        <c:crossAx val="475924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34</xdr:row>
      <xdr:rowOff>160560</xdr:rowOff>
    </xdr:from>
    <xdr:to>
      <xdr:col>14</xdr:col>
      <xdr:colOff>376560</xdr:colOff>
      <xdr:row>49</xdr:row>
      <xdr:rowOff>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50</xdr:row>
      <xdr:rowOff>160920</xdr:rowOff>
    </xdr:from>
    <xdr:to>
      <xdr:col>14</xdr:col>
      <xdr:colOff>376560</xdr:colOff>
      <xdr:row>65</xdr:row>
      <xdr:rowOff>2880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18</xdr:row>
      <xdr:rowOff>160560</xdr:rowOff>
    </xdr:from>
    <xdr:to>
      <xdr:col>14</xdr:col>
      <xdr:colOff>376560</xdr:colOff>
      <xdr:row>33</xdr:row>
      <xdr:rowOff>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2</xdr:row>
      <xdr:rowOff>160920</xdr:rowOff>
    </xdr:from>
    <xdr:to>
      <xdr:col>14</xdr:col>
      <xdr:colOff>376560</xdr:colOff>
      <xdr:row>17</xdr:row>
      <xdr:rowOff>2880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M162" totalsRowShown="0">
  <autoFilter ref="A1:M162" xr:uid="{00000000-0009-0000-0100-000001000000}"/>
  <tableColumns count="13">
    <tableColumn id="1" xr3:uid="{00000000-0010-0000-0000-000001000000}" name="Sales Rep ID"/>
    <tableColumn id="2" xr3:uid="{00000000-0010-0000-0000-000002000000}" name="Rep First Name"/>
    <tableColumn id="3" xr3:uid="{00000000-0010-0000-0000-000003000000}" name="Rep Last Name"/>
    <tableColumn id="4" xr3:uid="{00000000-0010-0000-0000-000004000000}" name="Month"/>
    <tableColumn id="5" xr3:uid="{00000000-0010-0000-0000-000005000000}" name="Product Type"/>
    <tableColumn id="6" xr3:uid="{00000000-0010-0000-0000-000006000000}" name="Min Speed"/>
    <tableColumn id="7" xr3:uid="{00000000-0010-0000-0000-000007000000}" name="Speed"/>
    <tableColumn id="8" xr3:uid="{00000000-0010-0000-0000-000008000000}" name="Distance"/>
    <tableColumn id="9" xr3:uid="{00000000-0010-0000-0000-000009000000}" name="Shipping Address"/>
    <tableColumn id="10" xr3:uid="{00000000-0010-0000-0000-00000A000000}" name="Country Code"/>
    <tableColumn id="11" xr3:uid="{00000000-0010-0000-0000-00000B000000}" name="Unit Price"/>
    <tableColumn id="12" xr3:uid="{00000000-0010-0000-0000-00000C000000}" name="Units Sold"/>
    <tableColumn id="13" xr3:uid="{00000000-0010-0000-0000-00000D000000}" name="Discount (%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72"/>
  <sheetViews>
    <sheetView tabSelected="1" zoomScaleNormal="100" workbookViewId="0">
      <pane ySplit="3" topLeftCell="A4" activePane="bottomLeft" state="frozen"/>
      <selection pane="bottomLeft" activeCell="J18" sqref="J18"/>
    </sheetView>
  </sheetViews>
  <sheetFormatPr defaultColWidth="8.5546875" defaultRowHeight="14.4" x14ac:dyDescent="0.3"/>
  <cols>
    <col min="1" max="1" width="26" customWidth="1"/>
    <col min="2" max="2" width="14" customWidth="1"/>
    <col min="3" max="3" width="13" customWidth="1"/>
    <col min="4" max="4" width="20" customWidth="1"/>
    <col min="5" max="5" width="15" customWidth="1"/>
    <col min="6" max="6" width="13" customWidth="1"/>
    <col min="7" max="7" width="3" customWidth="1"/>
  </cols>
  <sheetData>
    <row r="1" spans="1:6" ht="17.399999999999999" x14ac:dyDescent="0.3">
      <c r="A1" s="1" t="s">
        <v>0</v>
      </c>
    </row>
    <row r="2" spans="1:6" x14ac:dyDescent="0.3">
      <c r="A2" s="2" t="s">
        <v>1</v>
      </c>
    </row>
    <row r="4" spans="1:6" ht="15.6" x14ac:dyDescent="0.3">
      <c r="A4" s="3" t="s">
        <v>2</v>
      </c>
    </row>
    <row r="5" spans="1:6" x14ac:dyDescent="0.3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3">
      <c r="A6" s="5" t="s">
        <v>9</v>
      </c>
      <c r="B6" s="5" t="str">
        <f>INDEX(Lookups!$C$3:$C$6,MATCH(A6,Lookups!$B$3:$B$6,0))</f>
        <v>Asia</v>
      </c>
      <c r="C6" s="6">
        <f>SUMIFS('Clean Data'!$N$2:$N$145,'Clean Data'!$I$2:$I$145,A6)</f>
        <v>11350</v>
      </c>
      <c r="D6" s="7">
        <f>SUMIFS('Clean Data'!$P$2:$P$145,'Clean Data'!$I$2:$I$145,A6)</f>
        <v>3274230</v>
      </c>
      <c r="E6" s="8">
        <f>D6/D$10</f>
        <v>8.202998168109063E-2</v>
      </c>
      <c r="F6" s="9">
        <f>RANK(D6,D$6:D$9)</f>
        <v>4</v>
      </c>
    </row>
    <row r="7" spans="1:6" x14ac:dyDescent="0.3">
      <c r="A7" s="5" t="s">
        <v>10</v>
      </c>
      <c r="B7" s="5" t="str">
        <f>INDEX(Lookups!$C$3:$C$6,MATCH(A7,Lookups!$B$3:$B$6,0))</f>
        <v>Asia</v>
      </c>
      <c r="C7" s="6">
        <f>SUMIFS('Clean Data'!$N$2:$N$145,'Clean Data'!$I$2:$I$145,A7)</f>
        <v>37450</v>
      </c>
      <c r="D7" s="7">
        <f>SUMIFS('Clean Data'!$P$2:$P$145,'Clean Data'!$I$2:$I$145,A7)</f>
        <v>20302030</v>
      </c>
      <c r="E7" s="8">
        <f>D7/D$10</f>
        <v>0.50863108241905808</v>
      </c>
      <c r="F7" s="9">
        <f>RANK(D7,D$6:D$9)</f>
        <v>1</v>
      </c>
    </row>
    <row r="8" spans="1:6" x14ac:dyDescent="0.3">
      <c r="A8" s="5" t="s">
        <v>11</v>
      </c>
      <c r="B8" s="5" t="str">
        <f>INDEX(Lookups!$C$3:$C$6,MATCH(A8,Lookups!$B$3:$B$6,0))</f>
        <v>Europe</v>
      </c>
      <c r="C8" s="6">
        <f>SUMIFS('Clean Data'!$N$2:$N$145,'Clean Data'!$I$2:$I$145,A8)</f>
        <v>8450</v>
      </c>
      <c r="D8" s="7">
        <f>SUMIFS('Clean Data'!$P$2:$P$145,'Clean Data'!$I$2:$I$145,A8)</f>
        <v>8704557</v>
      </c>
      <c r="E8" s="8">
        <f>D8/D$10</f>
        <v>0.21807712080458894</v>
      </c>
      <c r="F8" s="9">
        <f>RANK(D8,D$6:D$9)</f>
        <v>2</v>
      </c>
    </row>
    <row r="9" spans="1:6" x14ac:dyDescent="0.3">
      <c r="A9" s="5" t="s">
        <v>12</v>
      </c>
      <c r="B9" s="5" t="str">
        <f>INDEX(Lookups!$C$3:$C$6,MATCH(A9,Lookups!$B$3:$B$6,0))</f>
        <v>Europe</v>
      </c>
      <c r="C9" s="6">
        <f>SUMIFS('Clean Data'!$N$2:$N$145,'Clean Data'!$I$2:$I$145,A9)</f>
        <v>8230</v>
      </c>
      <c r="D9" s="7">
        <f>SUMIFS('Clean Data'!$P$2:$P$145,'Clean Data'!$I$2:$I$145,A9)</f>
        <v>7634223</v>
      </c>
      <c r="E9" s="8">
        <f>D9/D$10</f>
        <v>0.19126181509526233</v>
      </c>
      <c r="F9" s="9">
        <f>RANK(D9,D$6:D$9)</f>
        <v>3</v>
      </c>
    </row>
    <row r="10" spans="1:6" x14ac:dyDescent="0.3">
      <c r="A10" s="10" t="s">
        <v>13</v>
      </c>
      <c r="B10" s="5"/>
      <c r="C10" s="11">
        <f>SUM(C6:C9)</f>
        <v>65480</v>
      </c>
      <c r="D10" s="12">
        <f>SUM(D6:D9)</f>
        <v>39915040</v>
      </c>
      <c r="E10" s="13">
        <f>SUM(E6:E9)</f>
        <v>1</v>
      </c>
      <c r="F10" s="5"/>
    </row>
    <row r="12" spans="1:6" ht="15.6" x14ac:dyDescent="0.3">
      <c r="A12" s="3" t="s">
        <v>14</v>
      </c>
    </row>
    <row r="13" spans="1:6" x14ac:dyDescent="0.3">
      <c r="A13" s="4" t="s">
        <v>4</v>
      </c>
      <c r="B13" s="4"/>
      <c r="C13" s="4" t="s">
        <v>5</v>
      </c>
      <c r="D13" s="4" t="s">
        <v>6</v>
      </c>
      <c r="E13" s="4" t="s">
        <v>7</v>
      </c>
      <c r="F13" s="4"/>
    </row>
    <row r="14" spans="1:6" x14ac:dyDescent="0.3">
      <c r="A14" s="5" t="s">
        <v>15</v>
      </c>
      <c r="B14" s="5"/>
      <c r="C14" s="6">
        <f>SUMIFS('Clean Data'!$N$2:$N$145,'Clean Data'!$J$2:$J$145,A14)</f>
        <v>48800</v>
      </c>
      <c r="D14" s="7">
        <f>SUMIFS('Clean Data'!$P$2:$P$145,'Clean Data'!$J$2:$J$145,A14)</f>
        <v>23576260</v>
      </c>
      <c r="E14" s="8">
        <f>D14/D10</f>
        <v>0.59066106410014874</v>
      </c>
      <c r="F14" s="5"/>
    </row>
    <row r="15" spans="1:6" x14ac:dyDescent="0.3">
      <c r="A15" s="5" t="s">
        <v>16</v>
      </c>
      <c r="B15" s="5"/>
      <c r="C15" s="6">
        <f>SUMIFS('Clean Data'!$N$2:$N$145,'Clean Data'!$J$2:$J$145,A15)</f>
        <v>16680</v>
      </c>
      <c r="D15" s="7">
        <f>SUMIFS('Clean Data'!$P$2:$P$145,'Clean Data'!$J$2:$J$145,A15)</f>
        <v>16338780</v>
      </c>
      <c r="E15" s="8">
        <f>D15/D10</f>
        <v>0.40933893589985126</v>
      </c>
      <c r="F15" s="5"/>
    </row>
    <row r="17" spans="1:6" ht="15.6" x14ac:dyDescent="0.3">
      <c r="A17" s="3" t="s">
        <v>17</v>
      </c>
    </row>
    <row r="18" spans="1:6" x14ac:dyDescent="0.3">
      <c r="A18" s="4" t="s">
        <v>18</v>
      </c>
      <c r="B18" s="4" t="s">
        <v>19</v>
      </c>
      <c r="C18" s="4" t="s">
        <v>5</v>
      </c>
      <c r="D18" s="4" t="s">
        <v>6</v>
      </c>
      <c r="E18" s="4" t="s">
        <v>20</v>
      </c>
      <c r="F18" s="4"/>
    </row>
    <row r="19" spans="1:6" x14ac:dyDescent="0.3">
      <c r="A19" s="5" t="s">
        <v>21</v>
      </c>
      <c r="B19" s="5" t="str">
        <f>"Q"&amp;ROUNDUP(1/3,0)</f>
        <v>Q1</v>
      </c>
      <c r="C19" s="6">
        <f>SUMIFS('Clean Data'!$N$2:$N$145,'Clean Data'!$C$2:$C$145,A19)</f>
        <v>3950</v>
      </c>
      <c r="D19" s="7">
        <f>SUMIFS('Clean Data'!$P$2:$P$145,'Clean Data'!$C$2:$C$145,A19)</f>
        <v>2276478</v>
      </c>
      <c r="E19" s="8"/>
      <c r="F19" s="5"/>
    </row>
    <row r="20" spans="1:6" x14ac:dyDescent="0.3">
      <c r="A20" s="5" t="s">
        <v>22</v>
      </c>
      <c r="B20" s="5" t="str">
        <f>"Q"&amp;ROUNDUP(2/3,0)</f>
        <v>Q1</v>
      </c>
      <c r="C20" s="6">
        <f>SUMIFS('Clean Data'!$N$2:$N$145,'Clean Data'!$C$2:$C$145,A20)</f>
        <v>4410</v>
      </c>
      <c r="D20" s="7">
        <f>SUMIFS('Clean Data'!$P$2:$P$145,'Clean Data'!$C$2:$C$145,A20)</f>
        <v>2798320</v>
      </c>
      <c r="E20" s="8">
        <f t="shared" ref="E20:E30" si="0">D20/D19-1</f>
        <v>0.22923217355933145</v>
      </c>
      <c r="F20" s="5"/>
    </row>
    <row r="21" spans="1:6" x14ac:dyDescent="0.3">
      <c r="A21" s="5" t="s">
        <v>23</v>
      </c>
      <c r="B21" s="5" t="str">
        <f>"Q"&amp;ROUNDUP(3/3,0)</f>
        <v>Q1</v>
      </c>
      <c r="C21" s="6">
        <f>SUMIFS('Clean Data'!$N$2:$N$145,'Clean Data'!$C$2:$C$145,A21)</f>
        <v>4410</v>
      </c>
      <c r="D21" s="7">
        <f>SUMIFS('Clean Data'!$P$2:$P$145,'Clean Data'!$C$2:$C$145,A21)</f>
        <v>2798320</v>
      </c>
      <c r="E21" s="8">
        <f t="shared" si="0"/>
        <v>0</v>
      </c>
      <c r="F21" s="5"/>
    </row>
    <row r="22" spans="1:6" x14ac:dyDescent="0.3">
      <c r="A22" s="5" t="s">
        <v>24</v>
      </c>
      <c r="B22" s="5" t="str">
        <f>"Q"&amp;ROUNDUP(4/3,0)</f>
        <v>Q2</v>
      </c>
      <c r="C22" s="6">
        <f>SUMIFS('Clean Data'!$N$2:$N$145,'Clean Data'!$C$2:$C$145,A22)</f>
        <v>5550</v>
      </c>
      <c r="D22" s="7">
        <f>SUMIFS('Clean Data'!$P$2:$P$145,'Clean Data'!$C$2:$C$145,A22)</f>
        <v>3474980</v>
      </c>
      <c r="E22" s="8">
        <f t="shared" si="0"/>
        <v>0.24180937133708791</v>
      </c>
      <c r="F22" s="5"/>
    </row>
    <row r="23" spans="1:6" x14ac:dyDescent="0.3">
      <c r="A23" s="5" t="s">
        <v>25</v>
      </c>
      <c r="B23" s="5" t="str">
        <f>"Q"&amp;ROUNDUP(5/3,0)</f>
        <v>Q2</v>
      </c>
      <c r="C23" s="6">
        <f>SUMIFS('Clean Data'!$N$2:$N$145,'Clean Data'!$C$2:$C$145,A23)</f>
        <v>5740</v>
      </c>
      <c r="D23" s="7">
        <f>SUMIFS('Clean Data'!$P$2:$P$145,'Clean Data'!$C$2:$C$145,A23)</f>
        <v>3633440</v>
      </c>
      <c r="E23" s="8">
        <f t="shared" si="0"/>
        <v>4.5600262447553552E-2</v>
      </c>
      <c r="F23" s="5"/>
    </row>
    <row r="24" spans="1:6" x14ac:dyDescent="0.3">
      <c r="A24" s="5" t="s">
        <v>26</v>
      </c>
      <c r="B24" s="5" t="str">
        <f>"Q"&amp;ROUNDUP(6/3,0)</f>
        <v>Q2</v>
      </c>
      <c r="C24" s="6">
        <f>SUMIFS('Clean Data'!$N$2:$N$145,'Clean Data'!$C$2:$C$145,A24)</f>
        <v>6650</v>
      </c>
      <c r="D24" s="7">
        <f>SUMIFS('Clean Data'!$P$2:$P$145,'Clean Data'!$C$2:$C$145,A24)</f>
        <v>4175700</v>
      </c>
      <c r="E24" s="8">
        <f t="shared" si="0"/>
        <v>0.14924149015808719</v>
      </c>
      <c r="F24" s="5"/>
    </row>
    <row r="25" spans="1:6" x14ac:dyDescent="0.3">
      <c r="A25" s="5" t="s">
        <v>27</v>
      </c>
      <c r="B25" s="5" t="str">
        <f>"Q"&amp;ROUNDUP(7/3,0)</f>
        <v>Q3</v>
      </c>
      <c r="C25" s="6">
        <f>SUMIFS('Clean Data'!$N$2:$N$145,'Clean Data'!$C$2:$C$145,A25)</f>
        <v>6530</v>
      </c>
      <c r="D25" s="7">
        <f>SUMIFS('Clean Data'!$P$2:$P$145,'Clean Data'!$C$2:$C$145,A25)</f>
        <v>4109420</v>
      </c>
      <c r="E25" s="8">
        <f t="shared" si="0"/>
        <v>-1.5872787796058163E-2</v>
      </c>
      <c r="F25" s="5"/>
    </row>
    <row r="26" spans="1:6" x14ac:dyDescent="0.3">
      <c r="A26" s="5" t="s">
        <v>28</v>
      </c>
      <c r="B26" s="5" t="str">
        <f>"Q"&amp;ROUNDUP(8/3,0)</f>
        <v>Q3</v>
      </c>
      <c r="C26" s="6">
        <f>SUMIFS('Clean Data'!$N$2:$N$145,'Clean Data'!$C$2:$C$145,A26)</f>
        <v>5730</v>
      </c>
      <c r="D26" s="7">
        <f>SUMIFS('Clean Data'!$P$2:$P$145,'Clean Data'!$C$2:$C$145,A26)</f>
        <v>3630200</v>
      </c>
      <c r="E26" s="8">
        <f t="shared" si="0"/>
        <v>-0.11661499676353348</v>
      </c>
      <c r="F26" s="5"/>
    </row>
    <row r="27" spans="1:6" x14ac:dyDescent="0.3">
      <c r="A27" s="5" t="s">
        <v>29</v>
      </c>
      <c r="B27" s="5" t="str">
        <f>"Q"&amp;ROUNDUP(9/3,0)</f>
        <v>Q3</v>
      </c>
      <c r="C27" s="6">
        <f>SUMIFS('Clean Data'!$N$2:$N$145,'Clean Data'!$C$2:$C$145,A27)</f>
        <v>5290</v>
      </c>
      <c r="D27" s="7">
        <f>SUMIFS('Clean Data'!$P$2:$P$145,'Clean Data'!$C$2:$C$145,A27)</f>
        <v>3390740</v>
      </c>
      <c r="E27" s="8">
        <f t="shared" si="0"/>
        <v>-6.596330780673243E-2</v>
      </c>
      <c r="F27" s="5"/>
    </row>
    <row r="28" spans="1:6" x14ac:dyDescent="0.3">
      <c r="A28" s="5" t="s">
        <v>30</v>
      </c>
      <c r="B28" s="5" t="str">
        <f>"Q"&amp;ROUNDUP(10/3,0)</f>
        <v>Q4</v>
      </c>
      <c r="C28" s="6">
        <f>SUMIFS('Clean Data'!$N$2:$N$145,'Clean Data'!$C$2:$C$145,A28)</f>
        <v>4780</v>
      </c>
      <c r="D28" s="7">
        <f>SUMIFS('Clean Data'!$P$2:$P$145,'Clean Data'!$C$2:$C$145,A28)</f>
        <v>3089540</v>
      </c>
      <c r="E28" s="8">
        <f t="shared" si="0"/>
        <v>-8.8830166866229798E-2</v>
      </c>
      <c r="F28" s="5"/>
    </row>
    <row r="29" spans="1:6" x14ac:dyDescent="0.3">
      <c r="A29" s="5" t="s">
        <v>31</v>
      </c>
      <c r="B29" s="5" t="str">
        <f>"Q"&amp;ROUNDUP(11/3,0)</f>
        <v>Q4</v>
      </c>
      <c r="C29" s="6">
        <f>SUMIFS('Clean Data'!$N$2:$N$145,'Clean Data'!$C$2:$C$145,A29)</f>
        <v>5300</v>
      </c>
      <c r="D29" s="7">
        <f>SUMIFS('Clean Data'!$P$2:$P$145,'Clean Data'!$C$2:$C$145,A29)</f>
        <v>2895678</v>
      </c>
      <c r="E29" s="8">
        <f t="shared" si="0"/>
        <v>-6.2747852431106255E-2</v>
      </c>
      <c r="F29" s="5"/>
    </row>
    <row r="30" spans="1:6" x14ac:dyDescent="0.3">
      <c r="A30" s="5" t="s">
        <v>32</v>
      </c>
      <c r="B30" s="5" t="str">
        <f>"Q"&amp;ROUNDUP(12/3,0)</f>
        <v>Q4</v>
      </c>
      <c r="C30" s="6">
        <f>SUMIFS('Clean Data'!$N$2:$N$145,'Clean Data'!$C$2:$C$145,A30)</f>
        <v>7140</v>
      </c>
      <c r="D30" s="7">
        <f>SUMIFS('Clean Data'!$P$2:$P$145,'Clean Data'!$C$2:$C$145,A30)</f>
        <v>3642224</v>
      </c>
      <c r="E30" s="8">
        <f t="shared" si="0"/>
        <v>0.25781388676503392</v>
      </c>
      <c r="F30" s="5"/>
    </row>
    <row r="31" spans="1:6" x14ac:dyDescent="0.3">
      <c r="A31" s="10" t="s">
        <v>13</v>
      </c>
      <c r="B31" s="5"/>
      <c r="C31" s="11">
        <f>SUM(C19:C30)</f>
        <v>65480</v>
      </c>
      <c r="D31" s="12">
        <f>SUM(D19:D30)</f>
        <v>39915040</v>
      </c>
      <c r="E31" s="5"/>
      <c r="F31" s="5"/>
    </row>
    <row r="33" spans="1:6" ht="15.6" x14ac:dyDescent="0.3">
      <c r="A33" s="3" t="s">
        <v>33</v>
      </c>
    </row>
    <row r="34" spans="1:6" ht="26.4" x14ac:dyDescent="0.3">
      <c r="A34" s="4" t="s">
        <v>19</v>
      </c>
      <c r="B34" s="4"/>
      <c r="C34" s="4" t="s">
        <v>5</v>
      </c>
      <c r="D34" s="4" t="s">
        <v>6</v>
      </c>
      <c r="E34" s="4" t="s">
        <v>34</v>
      </c>
      <c r="F34" s="4" t="s">
        <v>7</v>
      </c>
    </row>
    <row r="35" spans="1:6" x14ac:dyDescent="0.3">
      <c r="A35" s="5" t="s">
        <v>35</v>
      </c>
      <c r="B35" s="5"/>
      <c r="C35" s="6">
        <f>SUMIFS('Clean Data'!$N$2:$N$145,'Clean Data'!$D$2:$D$145,A35)</f>
        <v>12770</v>
      </c>
      <c r="D35" s="7">
        <f>SUMIFS('Clean Data'!$P$2:$P$145,'Clean Data'!$D$2:$D$145,A35)</f>
        <v>7873118</v>
      </c>
      <c r="E35" s="8"/>
      <c r="F35" s="8">
        <f>D35/D$39</f>
        <v>0.19724690242074167</v>
      </c>
    </row>
    <row r="36" spans="1:6" x14ac:dyDescent="0.3">
      <c r="A36" s="5" t="s">
        <v>36</v>
      </c>
      <c r="B36" s="5"/>
      <c r="C36" s="6">
        <f>SUMIFS('Clean Data'!$N$2:$N$145,'Clean Data'!$D$2:$D$145,A36)</f>
        <v>17940</v>
      </c>
      <c r="D36" s="7">
        <f>SUMIFS('Clean Data'!$P$2:$P$145,'Clean Data'!$D$2:$D$145,A36)</f>
        <v>11284120</v>
      </c>
      <c r="E36" s="8">
        <f>D36/D35-1</f>
        <v>0.43324665018357411</v>
      </c>
      <c r="F36" s="8">
        <f>D36/D$39</f>
        <v>0.2827034621536143</v>
      </c>
    </row>
    <row r="37" spans="1:6" x14ac:dyDescent="0.3">
      <c r="A37" s="5" t="s">
        <v>37</v>
      </c>
      <c r="B37" s="5"/>
      <c r="C37" s="6">
        <f>SUMIFS('Clean Data'!$N$2:$N$145,'Clean Data'!$D$2:$D$145,A37)</f>
        <v>17550</v>
      </c>
      <c r="D37" s="7">
        <f>SUMIFS('Clean Data'!$P$2:$P$145,'Clean Data'!$D$2:$D$145,A37)</f>
        <v>11130360</v>
      </c>
      <c r="E37" s="8">
        <f>D37/D36-1</f>
        <v>-1.3626228717879663E-2</v>
      </c>
      <c r="F37" s="8">
        <f>D37/D$39</f>
        <v>0.2788512801189727</v>
      </c>
    </row>
    <row r="38" spans="1:6" x14ac:dyDescent="0.3">
      <c r="A38" s="5" t="s">
        <v>38</v>
      </c>
      <c r="B38" s="5"/>
      <c r="C38" s="6">
        <f>SUMIFS('Clean Data'!$N$2:$N$145,'Clean Data'!$D$2:$D$145,A38)</f>
        <v>17220</v>
      </c>
      <c r="D38" s="7">
        <f>SUMIFS('Clean Data'!$P$2:$P$145,'Clean Data'!$D$2:$D$145,A38)</f>
        <v>9627442</v>
      </c>
      <c r="E38" s="8">
        <f>D38/D37-1</f>
        <v>-0.13502869628655323</v>
      </c>
      <c r="F38" s="8">
        <f>D38/D$39</f>
        <v>0.24119835530667136</v>
      </c>
    </row>
    <row r="39" spans="1:6" x14ac:dyDescent="0.3">
      <c r="A39" s="10" t="s">
        <v>13</v>
      </c>
      <c r="B39" s="5"/>
      <c r="C39" s="11">
        <f>SUM(C35:C38)</f>
        <v>65480</v>
      </c>
      <c r="D39" s="12">
        <f>SUM(D35:D38)</f>
        <v>39915040</v>
      </c>
      <c r="E39" s="5"/>
      <c r="F39" s="13">
        <f>SUM(F35:F38)</f>
        <v>1</v>
      </c>
    </row>
    <row r="41" spans="1:6" ht="15.6" x14ac:dyDescent="0.3">
      <c r="A41" s="3" t="s">
        <v>39</v>
      </c>
    </row>
    <row r="42" spans="1:6" x14ac:dyDescent="0.3">
      <c r="A42" s="4" t="s">
        <v>40</v>
      </c>
      <c r="B42" s="4"/>
      <c r="C42" s="4" t="s">
        <v>5</v>
      </c>
      <c r="D42" s="4" t="s">
        <v>6</v>
      </c>
      <c r="E42" s="4" t="s">
        <v>7</v>
      </c>
      <c r="F42" s="4" t="s">
        <v>8</v>
      </c>
    </row>
    <row r="43" spans="1:6" x14ac:dyDescent="0.3">
      <c r="A43" s="5" t="s">
        <v>41</v>
      </c>
      <c r="B43" s="5"/>
      <c r="C43" s="6">
        <f>SUMIFS('Clean Data'!$N$2:$N$145,'Clean Data'!$E$2:$E$145,A43)</f>
        <v>13780</v>
      </c>
      <c r="D43" s="7">
        <f>SUMIFS('Clean Data'!$P$2:$P$145,'Clean Data'!$E$2:$E$145,A43)</f>
        <v>9994124</v>
      </c>
      <c r="E43" s="8">
        <f>D43/D$46</f>
        <v>0.25038491756490788</v>
      </c>
      <c r="F43" s="9">
        <f>RANK(D43,D$43:D$45)</f>
        <v>3</v>
      </c>
    </row>
    <row r="44" spans="1:6" x14ac:dyDescent="0.3">
      <c r="A44" s="5" t="s">
        <v>42</v>
      </c>
      <c r="B44" s="5"/>
      <c r="C44" s="6">
        <f>SUMIFS('Clean Data'!$N$2:$N$145,'Clean Data'!$E$2:$E$145,A44)</f>
        <v>30610</v>
      </c>
      <c r="D44" s="7">
        <f>SUMIFS('Clean Data'!$P$2:$P$145,'Clean Data'!$E$2:$E$145,A44)</f>
        <v>16384850</v>
      </c>
      <c r="E44" s="8">
        <f>D44/D$46</f>
        <v>0.41049313742388832</v>
      </c>
      <c r="F44" s="9">
        <f>RANK(D44,D$43:D$45)</f>
        <v>1</v>
      </c>
    </row>
    <row r="45" spans="1:6" x14ac:dyDescent="0.3">
      <c r="A45" s="5" t="s">
        <v>43</v>
      </c>
      <c r="B45" s="5"/>
      <c r="C45" s="6">
        <f>SUMIFS('Clean Data'!$N$2:$N$145,'Clean Data'!$E$2:$E$145,A45)</f>
        <v>21090</v>
      </c>
      <c r="D45" s="7">
        <f>SUMIFS('Clean Data'!$P$2:$P$145,'Clean Data'!$E$2:$E$145,A45)</f>
        <v>13536066</v>
      </c>
      <c r="E45" s="8">
        <f>D45/D$46</f>
        <v>0.3391219450112038</v>
      </c>
      <c r="F45" s="9">
        <f>RANK(D45,D$43:D$45)</f>
        <v>2</v>
      </c>
    </row>
    <row r="46" spans="1:6" x14ac:dyDescent="0.3">
      <c r="A46" s="10" t="s">
        <v>13</v>
      </c>
      <c r="B46" s="5"/>
      <c r="C46" s="11">
        <f>SUM(C43:C45)</f>
        <v>65480</v>
      </c>
      <c r="D46" s="12">
        <f>SUM(D43:D45)</f>
        <v>39915040</v>
      </c>
      <c r="E46" s="13">
        <f>SUM(E43:E45)</f>
        <v>1</v>
      </c>
      <c r="F46" s="5"/>
    </row>
    <row r="48" spans="1:6" ht="15.6" x14ac:dyDescent="0.3">
      <c r="A48" s="3" t="s">
        <v>44</v>
      </c>
    </row>
    <row r="49" spans="1:6" x14ac:dyDescent="0.3">
      <c r="A49" s="4" t="s">
        <v>40</v>
      </c>
      <c r="B49" s="4" t="s">
        <v>9</v>
      </c>
      <c r="C49" s="4" t="s">
        <v>10</v>
      </c>
      <c r="D49" s="4" t="s">
        <v>11</v>
      </c>
      <c r="E49" s="4" t="s">
        <v>12</v>
      </c>
      <c r="F49" s="4" t="s">
        <v>13</v>
      </c>
    </row>
    <row r="50" spans="1:6" x14ac:dyDescent="0.3">
      <c r="A50" s="5" t="s">
        <v>41</v>
      </c>
      <c r="B50" s="7">
        <f>SUMIFS('Clean Data'!$P$2:$P$145,'Clean Data'!$E$2:$E$145,$A50,'Clean Data'!$I$2:$I$145,B$49)</f>
        <v>805680</v>
      </c>
      <c r="C50" s="7">
        <f>SUMIFS('Clean Data'!$P$2:$P$145,'Clean Data'!$E$2:$E$145,$A50,'Clean Data'!$I$2:$I$145,C$49)</f>
        <v>5285000</v>
      </c>
      <c r="D50" s="7">
        <f>SUMIFS('Clean Data'!$P$2:$P$145,'Clean Data'!$E$2:$E$145,$A50,'Clean Data'!$I$2:$I$145,D$49)</f>
        <v>1868724</v>
      </c>
      <c r="E50" s="7">
        <f>SUMIFS('Clean Data'!$P$2:$P$145,'Clean Data'!$E$2:$E$145,$A50,'Clean Data'!$I$2:$I$145,E$49)</f>
        <v>2034720</v>
      </c>
      <c r="F50" s="12">
        <f>SUM(B50:E50)</f>
        <v>9994124</v>
      </c>
    </row>
    <row r="51" spans="1:6" x14ac:dyDescent="0.3">
      <c r="A51" s="5" t="s">
        <v>42</v>
      </c>
      <c r="B51" s="7">
        <f>SUMIFS('Clean Data'!$P$2:$P$145,'Clean Data'!$E$2:$E$145,$A51,'Clean Data'!$I$2:$I$145,B$49)</f>
        <v>1524750</v>
      </c>
      <c r="C51" s="7">
        <f>SUMIFS('Clean Data'!$P$2:$P$145,'Clean Data'!$E$2:$E$145,$A51,'Clean Data'!$I$2:$I$145,C$49)</f>
        <v>8513750</v>
      </c>
      <c r="D51" s="7">
        <f>SUMIFS('Clean Data'!$P$2:$P$145,'Clean Data'!$E$2:$E$145,$A51,'Clean Data'!$I$2:$I$145,D$49)</f>
        <v>3381102</v>
      </c>
      <c r="E51" s="7">
        <f>SUMIFS('Clean Data'!$P$2:$P$145,'Clean Data'!$E$2:$E$145,$A51,'Clean Data'!$I$2:$I$145,E$49)</f>
        <v>2965248</v>
      </c>
      <c r="F51" s="12">
        <f>SUM(B51:E51)</f>
        <v>16384850</v>
      </c>
    </row>
    <row r="52" spans="1:6" x14ac:dyDescent="0.3">
      <c r="A52" s="5" t="s">
        <v>43</v>
      </c>
      <c r="B52" s="7">
        <f>SUMIFS('Clean Data'!$P$2:$P$145,'Clean Data'!$E$2:$E$145,$A52,'Clean Data'!$I$2:$I$145,B$49)</f>
        <v>943800</v>
      </c>
      <c r="C52" s="7">
        <f>SUMIFS('Clean Data'!$P$2:$P$145,'Clean Data'!$E$2:$E$145,$A52,'Clean Data'!$I$2:$I$145,C$49)</f>
        <v>6503280</v>
      </c>
      <c r="D52" s="7">
        <f>SUMIFS('Clean Data'!$P$2:$P$145,'Clean Data'!$E$2:$E$145,$A52,'Clean Data'!$I$2:$I$145,D$49)</f>
        <v>3454731</v>
      </c>
      <c r="E52" s="7">
        <f>SUMIFS('Clean Data'!$P$2:$P$145,'Clean Data'!$E$2:$E$145,$A52,'Clean Data'!$I$2:$I$145,E$49)</f>
        <v>2634255</v>
      </c>
      <c r="F52" s="12">
        <f>SUM(B52:E52)</f>
        <v>13536066</v>
      </c>
    </row>
    <row r="53" spans="1:6" x14ac:dyDescent="0.3">
      <c r="A53" s="10" t="s">
        <v>13</v>
      </c>
      <c r="B53" s="12">
        <f>SUM(B50:B52)</f>
        <v>3274230</v>
      </c>
      <c r="C53" s="12">
        <f>SUM(C50:C52)</f>
        <v>20302030</v>
      </c>
      <c r="D53" s="12">
        <f>SUM(D50:D52)</f>
        <v>8704557</v>
      </c>
      <c r="E53" s="12">
        <f>SUM(E50:E52)</f>
        <v>7634223</v>
      </c>
      <c r="F53" s="12">
        <f>SUM(F50:F52)</f>
        <v>39915040</v>
      </c>
    </row>
    <row r="55" spans="1:6" ht="15.6" x14ac:dyDescent="0.3">
      <c r="A55" s="3" t="s">
        <v>45</v>
      </c>
    </row>
    <row r="56" spans="1:6" x14ac:dyDescent="0.3">
      <c r="A56" s="4" t="s">
        <v>46</v>
      </c>
      <c r="B56" s="4" t="s">
        <v>3</v>
      </c>
      <c r="C56" s="4" t="s">
        <v>5</v>
      </c>
      <c r="D56" s="4" t="s">
        <v>6</v>
      </c>
      <c r="E56" s="4" t="s">
        <v>7</v>
      </c>
      <c r="F56" s="4" t="s">
        <v>8</v>
      </c>
    </row>
    <row r="57" spans="1:6" x14ac:dyDescent="0.3">
      <c r="A57" s="5" t="s">
        <v>47</v>
      </c>
      <c r="B57" s="5" t="s">
        <v>11</v>
      </c>
      <c r="C57" s="6">
        <f>SUMIFS('Clean Data'!$N$2:$N$145,'Clean Data'!$B$2:$B$145,A57)</f>
        <v>8450</v>
      </c>
      <c r="D57" s="7">
        <f>SUMIFS('Clean Data'!$P$2:$P$145,'Clean Data'!$B$2:$B$145,A57)</f>
        <v>8704557</v>
      </c>
      <c r="E57" s="8">
        <f>D57/D$61</f>
        <v>0.21807712080458894</v>
      </c>
      <c r="F57" s="9">
        <f>RANK(D57,D$57:D$60)</f>
        <v>2</v>
      </c>
    </row>
    <row r="58" spans="1:6" x14ac:dyDescent="0.3">
      <c r="A58" s="5" t="s">
        <v>48</v>
      </c>
      <c r="B58" s="5" t="s">
        <v>12</v>
      </c>
      <c r="C58" s="6">
        <f>SUMIFS('Clean Data'!$N$2:$N$145,'Clean Data'!$B$2:$B$145,A58)</f>
        <v>8230</v>
      </c>
      <c r="D58" s="7">
        <f>SUMIFS('Clean Data'!$P$2:$P$145,'Clean Data'!$B$2:$B$145,A58)</f>
        <v>7634223</v>
      </c>
      <c r="E58" s="8">
        <f>D58/D$61</f>
        <v>0.19126181509526233</v>
      </c>
      <c r="F58" s="9">
        <f>RANK(D58,D$57:D$60)</f>
        <v>3</v>
      </c>
    </row>
    <row r="59" spans="1:6" x14ac:dyDescent="0.3">
      <c r="A59" s="5" t="s">
        <v>49</v>
      </c>
      <c r="B59" s="5" t="s">
        <v>9</v>
      </c>
      <c r="C59" s="6">
        <f>SUMIFS('Clean Data'!$N$2:$N$145,'Clean Data'!$B$2:$B$145,A59)</f>
        <v>11350</v>
      </c>
      <c r="D59" s="7">
        <f>SUMIFS('Clean Data'!$P$2:$P$145,'Clean Data'!$B$2:$B$145,A59)</f>
        <v>3274230</v>
      </c>
      <c r="E59" s="8">
        <f>D59/D$61</f>
        <v>8.202998168109063E-2</v>
      </c>
      <c r="F59" s="9">
        <f>RANK(D59,D$57:D$60)</f>
        <v>4</v>
      </c>
    </row>
    <row r="60" spans="1:6" x14ac:dyDescent="0.3">
      <c r="A60" s="5" t="s">
        <v>50</v>
      </c>
      <c r="B60" s="5" t="s">
        <v>10</v>
      </c>
      <c r="C60" s="6">
        <f>SUMIFS('Clean Data'!$N$2:$N$145,'Clean Data'!$B$2:$B$145,A60)</f>
        <v>37450</v>
      </c>
      <c r="D60" s="7">
        <f>SUMIFS('Clean Data'!$P$2:$P$145,'Clean Data'!$B$2:$B$145,A60)</f>
        <v>20302030</v>
      </c>
      <c r="E60" s="8">
        <f>D60/D$61</f>
        <v>0.50863108241905808</v>
      </c>
      <c r="F60" s="9">
        <f>RANK(D60,D$57:D$60)</f>
        <v>1</v>
      </c>
    </row>
    <row r="61" spans="1:6" x14ac:dyDescent="0.3">
      <c r="A61" s="10" t="s">
        <v>13</v>
      </c>
      <c r="B61" s="5"/>
      <c r="C61" s="11">
        <f>SUM(C57:C60)</f>
        <v>65480</v>
      </c>
      <c r="D61" s="12">
        <f>SUM(D57:D60)</f>
        <v>39915040</v>
      </c>
      <c r="E61" s="13">
        <f>SUM(E57:E60)</f>
        <v>1</v>
      </c>
      <c r="F61" s="5"/>
    </row>
    <row r="62" spans="1:6" x14ac:dyDescent="0.3">
      <c r="A62" s="10" t="s">
        <v>51</v>
      </c>
      <c r="B62" s="10" t="str">
        <f>INDEX(A57:A60,MATCH(MIN(D57:D60),D57:D60,0))</f>
        <v>Joshi, Sanya</v>
      </c>
    </row>
    <row r="63" spans="1:6" x14ac:dyDescent="0.3">
      <c r="A63" s="10" t="s">
        <v>52</v>
      </c>
      <c r="B63" s="10" t="str">
        <f>INDEX(A57:A60,MATCH(MAX(D57:D60),D57:D60,0))</f>
        <v>Liu, Fang</v>
      </c>
    </row>
    <row r="65" spans="1:6" ht="15.6" x14ac:dyDescent="0.3">
      <c r="A65" s="3" t="s">
        <v>53</v>
      </c>
    </row>
    <row r="66" spans="1:6" ht="26.4" x14ac:dyDescent="0.3">
      <c r="A66" s="4" t="s">
        <v>54</v>
      </c>
      <c r="B66" s="4" t="s">
        <v>55</v>
      </c>
      <c r="C66" s="4" t="s">
        <v>5</v>
      </c>
      <c r="D66" s="4" t="s">
        <v>56</v>
      </c>
      <c r="E66" s="4" t="s">
        <v>6</v>
      </c>
      <c r="F66" s="4"/>
    </row>
    <row r="67" spans="1:6" x14ac:dyDescent="0.3">
      <c r="A67" s="14">
        <v>0</v>
      </c>
      <c r="B67" s="6">
        <f>COUNTIFS('Clean Data'!$O$2:$O$145,A67)</f>
        <v>108</v>
      </c>
      <c r="C67" s="6">
        <f>SUMIFS('Clean Data'!$N$2:$N$145,'Clean Data'!$O$2:$O$145,A67)</f>
        <v>49090</v>
      </c>
      <c r="D67" s="6">
        <f>IF(B67=0,0,C67/B67)</f>
        <v>454.53703703703701</v>
      </c>
      <c r="E67" s="7">
        <f>SUMIFS('Clean Data'!$P$2:$P$145,'Clean Data'!$O$2:$O$145,A67)</f>
        <v>31100660</v>
      </c>
      <c r="F67" s="5"/>
    </row>
    <row r="68" spans="1:6" x14ac:dyDescent="0.3">
      <c r="A68" s="14">
        <v>10</v>
      </c>
      <c r="B68" s="6">
        <f>COUNTIFS('Clean Data'!$O$2:$O$145,A68)</f>
        <v>12</v>
      </c>
      <c r="C68" s="6">
        <f>SUMIFS('Clean Data'!$N$2:$N$145,'Clean Data'!$O$2:$O$145,A68)</f>
        <v>3950</v>
      </c>
      <c r="D68" s="6">
        <f>IF(B68=0,0,C68/B68)</f>
        <v>329.16666666666669</v>
      </c>
      <c r="E68" s="7">
        <f>SUMIFS('Clean Data'!$P$2:$P$145,'Clean Data'!$O$2:$O$145,A68)</f>
        <v>2276478</v>
      </c>
      <c r="F68" s="5"/>
    </row>
    <row r="69" spans="1:6" x14ac:dyDescent="0.3">
      <c r="A69" s="14">
        <v>15</v>
      </c>
      <c r="B69" s="6">
        <f>COUNTIFS('Clean Data'!$O$2:$O$145,A69)</f>
        <v>12</v>
      </c>
      <c r="C69" s="6">
        <f>SUMIFS('Clean Data'!$N$2:$N$145,'Clean Data'!$O$2:$O$145,A69)</f>
        <v>5300</v>
      </c>
      <c r="D69" s="6">
        <f>IF(B69=0,0,C69/B69)</f>
        <v>441.66666666666669</v>
      </c>
      <c r="E69" s="7">
        <f>SUMIFS('Clean Data'!$P$2:$P$145,'Clean Data'!$O$2:$O$145,A69)</f>
        <v>2895678</v>
      </c>
      <c r="F69" s="5"/>
    </row>
    <row r="70" spans="1:6" x14ac:dyDescent="0.3">
      <c r="A70" s="14">
        <v>20</v>
      </c>
      <c r="B70" s="6">
        <f>COUNTIFS('Clean Data'!$O$2:$O$145,A70)</f>
        <v>12</v>
      </c>
      <c r="C70" s="6">
        <f>SUMIFS('Clean Data'!$N$2:$N$145,'Clean Data'!$O$2:$O$145,A70)</f>
        <v>7140</v>
      </c>
      <c r="D70" s="6">
        <f>IF(B70=0,0,C70/B70)</f>
        <v>595</v>
      </c>
      <c r="E70" s="7">
        <f>SUMIFS('Clean Data'!$P$2:$P$145,'Clean Data'!$O$2:$O$145,A70)</f>
        <v>3642224</v>
      </c>
      <c r="F70" s="5"/>
    </row>
    <row r="71" spans="1:6" x14ac:dyDescent="0.3">
      <c r="A71" s="10" t="s">
        <v>13</v>
      </c>
      <c r="B71" s="11">
        <f>SUM(B67:B70)</f>
        <v>144</v>
      </c>
      <c r="C71" s="11">
        <f>SUM(C67:C70)</f>
        <v>65480</v>
      </c>
      <c r="D71" s="5"/>
      <c r="E71" s="12">
        <f>SUM(E67:E70)</f>
        <v>39915040</v>
      </c>
      <c r="F71" s="5"/>
    </row>
    <row r="72" spans="1:6" x14ac:dyDescent="0.3">
      <c r="A72" s="2" t="s">
        <v>57</v>
      </c>
    </row>
  </sheetData>
  <conditionalFormatting sqref="A57:F60">
    <cfRule type="expression" dxfId="4" priority="4">
      <formula>$F57=4</formula>
    </cfRule>
  </conditionalFormatting>
  <conditionalFormatting sqref="B50:E52">
    <cfRule type="colorScale" priority="3">
      <colorScale>
        <cfvo type="min"/>
        <cfvo type="max"/>
        <color rgb="FFFFFFFF"/>
        <color rgb="FF5B9BD5"/>
      </colorScale>
    </cfRule>
  </conditionalFormatting>
  <conditionalFormatting sqref="D19:D30">
    <cfRule type="colorScale" priority="2">
      <colorScale>
        <cfvo type="min"/>
        <cfvo type="percentile" val="50"/>
        <cfvo type="max"/>
        <color rgb="FFF8CBAD"/>
        <color rgb="FFFFFFFF"/>
        <color rgb="FFA9D08E"/>
      </colorScale>
    </cfRule>
  </conditionalFormatting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D14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3" sqref="D3"/>
    </sheetView>
  </sheetViews>
  <sheetFormatPr defaultColWidth="8.5546875" defaultRowHeight="14.4" x14ac:dyDescent="0.3"/>
  <cols>
    <col min="1" max="1" width="11" customWidth="1"/>
    <col min="2" max="2" width="22" customWidth="1"/>
    <col min="3" max="3" width="12" customWidth="1"/>
    <col min="4" max="4" width="9" customWidth="1"/>
    <col min="5" max="5" width="20" customWidth="1"/>
    <col min="6" max="6" width="24" customWidth="1"/>
    <col min="7" max="7" width="12" customWidth="1"/>
    <col min="8" max="8" width="11" customWidth="1"/>
    <col min="9" max="9" width="10" customWidth="1"/>
    <col min="10" max="10" width="11" customWidth="1"/>
    <col min="11" max="11" width="10" customWidth="1"/>
    <col min="12" max="13" width="13" customWidth="1"/>
    <col min="14" max="15" width="11" customWidth="1"/>
    <col min="16" max="16" width="15" customWidth="1"/>
    <col min="17" max="17" width="17" customWidth="1"/>
    <col min="18" max="18" width="12" customWidth="1"/>
    <col min="19" max="28" width="16" hidden="1" customWidth="1"/>
  </cols>
  <sheetData>
    <row r="1" spans="1:30" ht="31.5" customHeight="1" x14ac:dyDescent="0.3">
      <c r="A1" s="4" t="s">
        <v>58</v>
      </c>
      <c r="B1" s="4" t="s">
        <v>59</v>
      </c>
      <c r="C1" s="4" t="s">
        <v>18</v>
      </c>
      <c r="D1" s="4" t="s">
        <v>19</v>
      </c>
      <c r="E1" s="4" t="s">
        <v>40</v>
      </c>
      <c r="F1" s="4" t="s">
        <v>60</v>
      </c>
      <c r="G1" s="4" t="s">
        <v>61</v>
      </c>
      <c r="H1" s="4" t="s">
        <v>62</v>
      </c>
      <c r="I1" s="4" t="s">
        <v>3</v>
      </c>
      <c r="J1" s="4" t="s">
        <v>4</v>
      </c>
      <c r="K1" s="4" t="s">
        <v>63</v>
      </c>
      <c r="L1" s="4" t="s">
        <v>64</v>
      </c>
      <c r="M1" s="4" t="s">
        <v>65</v>
      </c>
      <c r="N1" s="4" t="s">
        <v>5</v>
      </c>
      <c r="O1" s="4" t="s">
        <v>54</v>
      </c>
      <c r="P1" s="4" t="s">
        <v>6</v>
      </c>
      <c r="Q1" s="4" t="s">
        <v>66</v>
      </c>
      <c r="R1" s="4" t="s">
        <v>67</v>
      </c>
      <c r="S1" s="4" t="s">
        <v>68</v>
      </c>
      <c r="T1" s="4" t="s">
        <v>69</v>
      </c>
      <c r="U1" s="4" t="s">
        <v>70</v>
      </c>
      <c r="V1" s="4" t="s">
        <v>71</v>
      </c>
      <c r="W1" s="4" t="s">
        <v>72</v>
      </c>
      <c r="X1" s="4" t="s">
        <v>73</v>
      </c>
      <c r="Y1" s="4" t="s">
        <v>74</v>
      </c>
      <c r="Z1" s="4" t="s">
        <v>75</v>
      </c>
      <c r="AA1" s="4" t="s">
        <v>76</v>
      </c>
      <c r="AB1" s="4" t="s">
        <v>77</v>
      </c>
      <c r="AD1" s="15" t="s">
        <v>78</v>
      </c>
    </row>
    <row r="2" spans="1:30" x14ac:dyDescent="0.3">
      <c r="A2" s="16">
        <v>1</v>
      </c>
      <c r="B2" s="16" t="str">
        <f t="shared" ref="B2:B33" si="0">T2&amp;", "&amp;S2</f>
        <v>Joshi, Sanya</v>
      </c>
      <c r="C2" s="16" t="s">
        <v>21</v>
      </c>
      <c r="D2" s="16" t="str">
        <f>"Q"&amp;ROUNDUP(MATCH(C2,Lookups!$L$3:$L$14,0)/3,0)</f>
        <v>Q1</v>
      </c>
      <c r="E2" s="16" t="s">
        <v>41</v>
      </c>
      <c r="F2" s="16" t="s">
        <v>79</v>
      </c>
      <c r="G2" s="16" t="s">
        <v>80</v>
      </c>
      <c r="H2" s="17" t="s">
        <v>81</v>
      </c>
      <c r="I2" s="16" t="str">
        <f>INDEX(Lookups!$B$3:$B$6,MATCH(Y2,Lookups!$A$3:$A$6,0))</f>
        <v>India</v>
      </c>
      <c r="J2" s="16" t="str">
        <f>INDEX(Lookups!$C$3:$C$6,MATCH(Y2,Lookups!$A$3:$A$6,0))</f>
        <v>Asia</v>
      </c>
      <c r="K2" s="16" t="str">
        <f>INDEX(Lookups!$D$3:$D$6,MATCH(Y2,Lookups!$A$3:$A$6,0))</f>
        <v>INR</v>
      </c>
      <c r="L2" s="18">
        <v>30000</v>
      </c>
      <c r="M2" s="19">
        <f>ROUND(L2*INDEX(Lookups!$G$3:$G$5,MATCH(K2,Lookups!$F$3:$F$5,0)),0)</f>
        <v>360</v>
      </c>
      <c r="N2" s="20">
        <v>150</v>
      </c>
      <c r="O2" s="21">
        <v>10</v>
      </c>
      <c r="P2" s="19">
        <f t="shared" ref="P2:P33" si="1">ROUND(N2*M2*(1-O2/100),0)</f>
        <v>48600</v>
      </c>
      <c r="Q2" s="16" t="str">
        <f>ROUND(AA2*Lookups!$O$3,0)&amp;" - "&amp;ROUND(AB2*Lookups!$O$3,0)&amp;" km/h"</f>
        <v>24 - 48 km/h</v>
      </c>
      <c r="R2" s="22">
        <f>IF(ISNUMBER(SEARCH("meters",W2)),ROUND(VALUE(SUBSTITUTE(LEFT(W2,FIND(" ",W2)-1),",",""))/Lookups!$O$4,0),ROUND(VALUE(LEFT(W2,FIND(" ",W2)-1))*Lookups!$O$3,0))</f>
        <v>48</v>
      </c>
      <c r="S2" s="16" t="s">
        <v>82</v>
      </c>
      <c r="T2" s="16" t="s">
        <v>83</v>
      </c>
      <c r="U2" s="16" t="s">
        <v>84</v>
      </c>
      <c r="V2" s="16" t="s">
        <v>85</v>
      </c>
      <c r="W2" s="16" t="s">
        <v>86</v>
      </c>
      <c r="X2" s="16" t="s">
        <v>87</v>
      </c>
      <c r="Y2" s="16" t="s">
        <v>88</v>
      </c>
      <c r="Z2" s="16" t="s">
        <v>89</v>
      </c>
      <c r="AA2" s="16">
        <f>IF(U2="",INDEX(Lookups!$J$3:$J$5,MATCH(E2,Lookups!$I$3:$I$5,0)),VALUE(LEFT(U2,FIND(" ",U2)-1)))</f>
        <v>15</v>
      </c>
      <c r="AB2" s="16">
        <f t="shared" ref="AB2:AB33" si="2">VALUE(LEFT(V2,FIND(" ",V2)-1))</f>
        <v>30</v>
      </c>
      <c r="AD2" s="23" t="s">
        <v>90</v>
      </c>
    </row>
    <row r="3" spans="1:30" x14ac:dyDescent="0.3">
      <c r="A3" s="16">
        <v>2</v>
      </c>
      <c r="B3" s="16" t="str">
        <f t="shared" si="0"/>
        <v>Joshi, Sanya</v>
      </c>
      <c r="C3" s="16" t="s">
        <v>21</v>
      </c>
      <c r="D3" s="16" t="str">
        <f>"Q"&amp;ROUNDUP(MATCH(C3,Lookups!$L$3:$L$14,0)/3,0)</f>
        <v>Q1</v>
      </c>
      <c r="E3" s="16" t="s">
        <v>42</v>
      </c>
      <c r="F3" s="16" t="s">
        <v>91</v>
      </c>
      <c r="G3" s="16" t="s">
        <v>80</v>
      </c>
      <c r="H3" s="17" t="s">
        <v>81</v>
      </c>
      <c r="I3" s="16" t="str">
        <f>INDEX(Lookups!$B$3:$B$6,MATCH(Y3,Lookups!$A$3:$A$6,0))</f>
        <v>India</v>
      </c>
      <c r="J3" s="16" t="str">
        <f>INDEX(Lookups!$C$3:$C$6,MATCH(Y3,Lookups!$A$3:$A$6,0))</f>
        <v>Asia</v>
      </c>
      <c r="K3" s="16" t="str">
        <f>INDEX(Lookups!$D$3:$D$6,MATCH(Y3,Lookups!$A$3:$A$6,0))</f>
        <v>INR</v>
      </c>
      <c r="L3" s="18">
        <v>25000</v>
      </c>
      <c r="M3" s="19">
        <f>ROUND(L3*INDEX(Lookups!$G$3:$G$5,MATCH(K3,Lookups!$F$3:$F$5,0)),0)</f>
        <v>300</v>
      </c>
      <c r="N3" s="20">
        <v>300</v>
      </c>
      <c r="O3" s="21">
        <v>10</v>
      </c>
      <c r="P3" s="19">
        <f t="shared" si="1"/>
        <v>81000</v>
      </c>
      <c r="Q3" s="16" t="str">
        <f>ROUND(AA3*Lookups!$O$3,0)&amp;" - "&amp;ROUND(AB3*Lookups!$O$3,0)&amp;" km/h"</f>
        <v>32 - 56 km/h</v>
      </c>
      <c r="R3" s="22">
        <f>IF(ISNUMBER(SEARCH("meters",W3)),ROUND(VALUE(SUBSTITUTE(LEFT(W3,FIND(" ",W3)-1),",",""))/Lookups!$O$4,0),ROUND(VALUE(LEFT(W3,FIND(" ",W3)-1))*Lookups!$O$3,0))</f>
        <v>64</v>
      </c>
      <c r="S3" s="16" t="s">
        <v>82</v>
      </c>
      <c r="T3" s="16" t="s">
        <v>83</v>
      </c>
      <c r="U3" s="16" t="s">
        <v>92</v>
      </c>
      <c r="V3" s="16" t="s">
        <v>93</v>
      </c>
      <c r="W3" s="16" t="s">
        <v>94</v>
      </c>
      <c r="X3" s="16" t="s">
        <v>95</v>
      </c>
      <c r="Y3" s="16" t="s">
        <v>88</v>
      </c>
      <c r="Z3" s="16" t="s">
        <v>96</v>
      </c>
      <c r="AA3" s="16">
        <f>IF(U3="",INDEX(Lookups!$J$3:$J$5,MATCH(E3,Lookups!$I$3:$I$5,0)),VALUE(LEFT(U3,FIND(" ",U3)-1)))</f>
        <v>20</v>
      </c>
      <c r="AB3" s="16">
        <f t="shared" si="2"/>
        <v>35</v>
      </c>
      <c r="AD3" s="23" t="s">
        <v>97</v>
      </c>
    </row>
    <row r="4" spans="1:30" x14ac:dyDescent="0.3">
      <c r="A4" s="16">
        <v>3</v>
      </c>
      <c r="B4" s="16" t="str">
        <f t="shared" si="0"/>
        <v>Joshi, Sanya</v>
      </c>
      <c r="C4" s="16" t="s">
        <v>21</v>
      </c>
      <c r="D4" s="16" t="str">
        <f>"Q"&amp;ROUNDUP(MATCH(C4,Lookups!$L$3:$L$14,0)/3,0)</f>
        <v>Q1</v>
      </c>
      <c r="E4" s="16" t="s">
        <v>43</v>
      </c>
      <c r="F4" s="16" t="s">
        <v>98</v>
      </c>
      <c r="G4" s="16" t="s">
        <v>80</v>
      </c>
      <c r="H4" s="17" t="s">
        <v>81</v>
      </c>
      <c r="I4" s="16" t="str">
        <f>INDEX(Lookups!$B$3:$B$6,MATCH(Y4,Lookups!$A$3:$A$6,0))</f>
        <v>India</v>
      </c>
      <c r="J4" s="16" t="str">
        <f>INDEX(Lookups!$C$3:$C$6,MATCH(Y4,Lookups!$A$3:$A$6,0))</f>
        <v>Asia</v>
      </c>
      <c r="K4" s="16" t="str">
        <f>INDEX(Lookups!$D$3:$D$6,MATCH(Y4,Lookups!$A$3:$A$6,0))</f>
        <v>INR</v>
      </c>
      <c r="L4" s="18">
        <v>22000</v>
      </c>
      <c r="M4" s="19">
        <f>ROUND(L4*INDEX(Lookups!$G$3:$G$5,MATCH(K4,Lookups!$F$3:$F$5,0)),0)</f>
        <v>264</v>
      </c>
      <c r="N4" s="20">
        <v>200</v>
      </c>
      <c r="O4" s="21">
        <v>10</v>
      </c>
      <c r="P4" s="19">
        <f t="shared" si="1"/>
        <v>47520</v>
      </c>
      <c r="Q4" s="16" t="str">
        <f>ROUND(AA4*Lookups!$O$3,0)&amp;" - "&amp;ROUND(AB4*Lookups!$O$3,0)&amp;" km/h"</f>
        <v>29 - 45 km/h</v>
      </c>
      <c r="R4" s="22">
        <f>IF(ISNUMBER(SEARCH("meters",W4)),ROUND(VALUE(SUBSTITUTE(LEFT(W4,FIND(" ",W4)-1),",",""))/Lookups!$O$4,0),ROUND(VALUE(LEFT(W4,FIND(" ",W4)-1))*Lookups!$O$3,0))</f>
        <v>40</v>
      </c>
      <c r="S4" s="16" t="s">
        <v>82</v>
      </c>
      <c r="T4" s="16" t="s">
        <v>83</v>
      </c>
      <c r="U4" s="16" t="s">
        <v>99</v>
      </c>
      <c r="V4" s="16" t="s">
        <v>100</v>
      </c>
      <c r="W4" s="16" t="s">
        <v>101</v>
      </c>
      <c r="X4" s="16" t="s">
        <v>102</v>
      </c>
      <c r="Y4" s="16" t="s">
        <v>88</v>
      </c>
      <c r="Z4" s="16" t="s">
        <v>103</v>
      </c>
      <c r="AA4" s="16">
        <f>IF(U4="",INDEX(Lookups!$J$3:$J$5,MATCH(E4,Lookups!$I$3:$I$5,0)),VALUE(LEFT(U4,FIND(" ",U4)-1)))</f>
        <v>18</v>
      </c>
      <c r="AB4" s="16">
        <f t="shared" si="2"/>
        <v>28</v>
      </c>
      <c r="AD4" s="23" t="s">
        <v>104</v>
      </c>
    </row>
    <row r="5" spans="1:30" x14ac:dyDescent="0.3">
      <c r="A5" s="16">
        <v>4</v>
      </c>
      <c r="B5" s="16" t="str">
        <f t="shared" si="0"/>
        <v>Liu, Fang</v>
      </c>
      <c r="C5" s="16" t="s">
        <v>21</v>
      </c>
      <c r="D5" s="16" t="str">
        <f>"Q"&amp;ROUNDUP(MATCH(C5,Lookups!$L$3:$L$14,0)/3,0)</f>
        <v>Q1</v>
      </c>
      <c r="E5" s="16" t="s">
        <v>41</v>
      </c>
      <c r="F5" s="16" t="s">
        <v>105</v>
      </c>
      <c r="G5" s="16" t="s">
        <v>106</v>
      </c>
      <c r="H5" s="17" t="s">
        <v>107</v>
      </c>
      <c r="I5" s="16" t="str">
        <f>INDEX(Lookups!$B$3:$B$6,MATCH(Y5,Lookups!$A$3:$A$6,0))</f>
        <v>China</v>
      </c>
      <c r="J5" s="16" t="str">
        <f>INDEX(Lookups!$C$3:$C$6,MATCH(Y5,Lookups!$A$3:$A$6,0))</f>
        <v>Asia</v>
      </c>
      <c r="K5" s="16" t="str">
        <f>INDEX(Lookups!$D$3:$D$6,MATCH(Y5,Lookups!$A$3:$A$6,0))</f>
        <v>CNY</v>
      </c>
      <c r="L5" s="24">
        <v>5000</v>
      </c>
      <c r="M5" s="19">
        <f>ROUND(L5*INDEX(Lookups!$G$3:$G$5,MATCH(K5,Lookups!$F$3:$F$5,0)),0)</f>
        <v>700</v>
      </c>
      <c r="N5" s="20">
        <v>500</v>
      </c>
      <c r="O5" s="21">
        <v>10</v>
      </c>
      <c r="P5" s="19">
        <f t="shared" si="1"/>
        <v>315000</v>
      </c>
      <c r="Q5" s="16" t="str">
        <f>ROUND(AA5*Lookups!$O$3,0)&amp;" - "&amp;ROUND(AB5*Lookups!$O$3,0)&amp;" km/h"</f>
        <v>24 - 48 km/h</v>
      </c>
      <c r="R5" s="22">
        <f>IF(ISNUMBER(SEARCH("meters",W5)),ROUND(VALUE(SUBSTITUTE(LEFT(W5,FIND(" ",W5)-1),",",""))/Lookups!$O$4,0),ROUND(VALUE(LEFT(W5,FIND(" ",W5)-1))*Lookups!$O$3,0))</f>
        <v>48</v>
      </c>
      <c r="S5" s="16" t="s">
        <v>108</v>
      </c>
      <c r="T5" s="16" t="s">
        <v>109</v>
      </c>
      <c r="U5" s="16" t="s">
        <v>84</v>
      </c>
      <c r="V5" s="16" t="s">
        <v>85</v>
      </c>
      <c r="W5" s="16" t="s">
        <v>86</v>
      </c>
      <c r="X5" s="16" t="s">
        <v>110</v>
      </c>
      <c r="Y5" s="16" t="s">
        <v>111</v>
      </c>
      <c r="Z5" s="16" t="s">
        <v>112</v>
      </c>
      <c r="AA5" s="16">
        <f>IF(U5="",INDEX(Lookups!$J$3:$J$5,MATCH(E5,Lookups!$I$3:$I$5,0)),VALUE(LEFT(U5,FIND(" ",U5)-1)))</f>
        <v>15</v>
      </c>
      <c r="AB5" s="16">
        <f t="shared" si="2"/>
        <v>30</v>
      </c>
    </row>
    <row r="6" spans="1:30" x14ac:dyDescent="0.3">
      <c r="A6" s="16">
        <v>5</v>
      </c>
      <c r="B6" s="16" t="str">
        <f t="shared" si="0"/>
        <v>Liu, Fang</v>
      </c>
      <c r="C6" s="16" t="s">
        <v>21</v>
      </c>
      <c r="D6" s="16" t="str">
        <f>"Q"&amp;ROUNDUP(MATCH(C6,Lookups!$L$3:$L$14,0)/3,0)</f>
        <v>Q1</v>
      </c>
      <c r="E6" s="16" t="s">
        <v>42</v>
      </c>
      <c r="F6" s="16" t="s">
        <v>113</v>
      </c>
      <c r="G6" s="16" t="s">
        <v>106</v>
      </c>
      <c r="H6" s="17" t="s">
        <v>107</v>
      </c>
      <c r="I6" s="16" t="str">
        <f>INDEX(Lookups!$B$3:$B$6,MATCH(Y6,Lookups!$A$3:$A$6,0))</f>
        <v>China</v>
      </c>
      <c r="J6" s="16" t="str">
        <f>INDEX(Lookups!$C$3:$C$6,MATCH(Y6,Lookups!$A$3:$A$6,0))</f>
        <v>Asia</v>
      </c>
      <c r="K6" s="16" t="str">
        <f>INDEX(Lookups!$D$3:$D$6,MATCH(Y6,Lookups!$A$3:$A$6,0))</f>
        <v>CNY</v>
      </c>
      <c r="L6" s="24">
        <v>3500</v>
      </c>
      <c r="M6" s="19">
        <f>ROUND(L6*INDEX(Lookups!$G$3:$G$5,MATCH(K6,Lookups!$F$3:$F$5,0)),0)</f>
        <v>490</v>
      </c>
      <c r="N6" s="20">
        <v>1000</v>
      </c>
      <c r="O6" s="21">
        <v>10</v>
      </c>
      <c r="P6" s="19">
        <f t="shared" si="1"/>
        <v>441000</v>
      </c>
      <c r="Q6" s="16" t="str">
        <f>ROUND(AA6*Lookups!$O$3,0)&amp;" - "&amp;ROUND(AB6*Lookups!$O$3,0)&amp;" km/h"</f>
        <v>32 - 56 km/h</v>
      </c>
      <c r="R6" s="22">
        <f>IF(ISNUMBER(SEARCH("meters",W6)),ROUND(VALUE(SUBSTITUTE(LEFT(W6,FIND(" ",W6)-1),",",""))/Lookups!$O$4,0),ROUND(VALUE(LEFT(W6,FIND(" ",W6)-1))*Lookups!$O$3,0))</f>
        <v>64</v>
      </c>
      <c r="S6" s="16" t="s">
        <v>108</v>
      </c>
      <c r="T6" s="16" t="s">
        <v>109</v>
      </c>
      <c r="U6" s="16" t="s">
        <v>92</v>
      </c>
      <c r="V6" s="16" t="s">
        <v>93</v>
      </c>
      <c r="W6" s="16" t="s">
        <v>94</v>
      </c>
      <c r="X6" s="16" t="s">
        <v>114</v>
      </c>
      <c r="Y6" s="16" t="s">
        <v>111</v>
      </c>
      <c r="Z6" s="16" t="s">
        <v>115</v>
      </c>
      <c r="AA6" s="16">
        <f>IF(U6="",INDEX(Lookups!$J$3:$J$5,MATCH(E6,Lookups!$I$3:$I$5,0)),VALUE(LEFT(U6,FIND(" ",U6)-1)))</f>
        <v>20</v>
      </c>
      <c r="AB6" s="16">
        <f t="shared" si="2"/>
        <v>35</v>
      </c>
    </row>
    <row r="7" spans="1:30" x14ac:dyDescent="0.3">
      <c r="A7" s="16">
        <v>6</v>
      </c>
      <c r="B7" s="16" t="str">
        <f t="shared" si="0"/>
        <v>Liu, Fang</v>
      </c>
      <c r="C7" s="16" t="s">
        <v>21</v>
      </c>
      <c r="D7" s="16" t="str">
        <f>"Q"&amp;ROUNDUP(MATCH(C7,Lookups!$L$3:$L$14,0)/3,0)</f>
        <v>Q1</v>
      </c>
      <c r="E7" s="16" t="s">
        <v>43</v>
      </c>
      <c r="F7" s="16" t="s">
        <v>116</v>
      </c>
      <c r="G7" s="16" t="s">
        <v>106</v>
      </c>
      <c r="H7" s="17" t="s">
        <v>107</v>
      </c>
      <c r="I7" s="16" t="str">
        <f>INDEX(Lookups!$B$3:$B$6,MATCH(Y7,Lookups!$A$3:$A$6,0))</f>
        <v>China</v>
      </c>
      <c r="J7" s="16" t="str">
        <f>INDEX(Lookups!$C$3:$C$6,MATCH(Y7,Lookups!$A$3:$A$6,0))</f>
        <v>Asia</v>
      </c>
      <c r="K7" s="16" t="str">
        <f>INDEX(Lookups!$D$3:$D$6,MATCH(Y7,Lookups!$A$3:$A$6,0))</f>
        <v>CNY</v>
      </c>
      <c r="L7" s="24">
        <v>4200</v>
      </c>
      <c r="M7" s="19">
        <f>ROUND(L7*INDEX(Lookups!$G$3:$G$5,MATCH(K7,Lookups!$F$3:$F$5,0)),0)</f>
        <v>588</v>
      </c>
      <c r="N7" s="20">
        <v>800</v>
      </c>
      <c r="O7" s="21">
        <v>10</v>
      </c>
      <c r="P7" s="19">
        <f t="shared" si="1"/>
        <v>423360</v>
      </c>
      <c r="Q7" s="16" t="str">
        <f>ROUND(AA7*Lookups!$O$3,0)&amp;" - "&amp;ROUND(AB7*Lookups!$O$3,0)&amp;" km/h"</f>
        <v>29 - 45 km/h</v>
      </c>
      <c r="R7" s="22">
        <f>IF(ISNUMBER(SEARCH("meters",W7)),ROUND(VALUE(SUBSTITUTE(LEFT(W7,FIND(" ",W7)-1),",",""))/Lookups!$O$4,0),ROUND(VALUE(LEFT(W7,FIND(" ",W7)-1))*Lookups!$O$3,0))</f>
        <v>40</v>
      </c>
      <c r="S7" s="16" t="s">
        <v>108</v>
      </c>
      <c r="T7" s="16" t="s">
        <v>109</v>
      </c>
      <c r="U7" s="16"/>
      <c r="V7" s="16" t="s">
        <v>100</v>
      </c>
      <c r="W7" s="16" t="s">
        <v>117</v>
      </c>
      <c r="X7" s="16" t="s">
        <v>118</v>
      </c>
      <c r="Y7" s="16" t="s">
        <v>111</v>
      </c>
      <c r="Z7" s="16" t="s">
        <v>119</v>
      </c>
      <c r="AA7" s="16">
        <f>IF(U7="",INDEX(Lookups!$J$3:$J$5,MATCH(E7,Lookups!$I$3:$I$5,0)),VALUE(LEFT(U7,FIND(" ",U7)-1)))</f>
        <v>18</v>
      </c>
      <c r="AB7" s="16">
        <f t="shared" si="2"/>
        <v>28</v>
      </c>
    </row>
    <row r="8" spans="1:30" x14ac:dyDescent="0.3">
      <c r="A8" s="16">
        <v>7</v>
      </c>
      <c r="B8" s="16" t="str">
        <f t="shared" si="0"/>
        <v>Fischer, Jonas</v>
      </c>
      <c r="C8" s="16" t="s">
        <v>21</v>
      </c>
      <c r="D8" s="16" t="str">
        <f>"Q"&amp;ROUNDUP(MATCH(C8,Lookups!$L$3:$L$14,0)/3,0)</f>
        <v>Q1</v>
      </c>
      <c r="E8" s="16" t="s">
        <v>41</v>
      </c>
      <c r="F8" s="16" t="s">
        <v>120</v>
      </c>
      <c r="G8" s="16" t="s">
        <v>121</v>
      </c>
      <c r="H8" s="17" t="s">
        <v>122</v>
      </c>
      <c r="I8" s="16" t="str">
        <f>INDEX(Lookups!$B$3:$B$6,MATCH(Y8,Lookups!$A$3:$A$6,0))</f>
        <v>Germany</v>
      </c>
      <c r="J8" s="16" t="str">
        <f>INDEX(Lookups!$C$3:$C$6,MATCH(Y8,Lookups!$A$3:$A$6,0))</f>
        <v>Europe</v>
      </c>
      <c r="K8" s="16" t="str">
        <f>INDEX(Lookups!$D$3:$D$6,MATCH(Y8,Lookups!$A$3:$A$6,0))</f>
        <v>EUR</v>
      </c>
      <c r="L8" s="25">
        <v>1000</v>
      </c>
      <c r="M8" s="19">
        <f>ROUND(L8*INDEX(Lookups!$G$3:$G$5,MATCH(K8,Lookups!$F$3:$F$5,0)),0)</f>
        <v>1080</v>
      </c>
      <c r="N8" s="20">
        <v>120</v>
      </c>
      <c r="O8" s="21">
        <v>10</v>
      </c>
      <c r="P8" s="19">
        <f t="shared" si="1"/>
        <v>116640</v>
      </c>
      <c r="Q8" s="16" t="str">
        <f>ROUND(AA8*Lookups!$O$3,0)&amp;" - "&amp;ROUND(AB8*Lookups!$O$3,0)&amp;" km/h"</f>
        <v>24 - 48 km/h</v>
      </c>
      <c r="R8" s="22">
        <f>IF(ISNUMBER(SEARCH("meters",W8)),ROUND(VALUE(SUBSTITUTE(LEFT(W8,FIND(" ",W8)-1),",",""))/Lookups!$O$4,0),ROUND(VALUE(LEFT(W8,FIND(" ",W8)-1))*Lookups!$O$3,0))</f>
        <v>48</v>
      </c>
      <c r="S8" s="16" t="s">
        <v>123</v>
      </c>
      <c r="T8" s="16" t="s">
        <v>124</v>
      </c>
      <c r="U8" s="16" t="s">
        <v>84</v>
      </c>
      <c r="V8" s="16" t="s">
        <v>85</v>
      </c>
      <c r="W8" s="16" t="s">
        <v>125</v>
      </c>
      <c r="X8" s="16" t="s">
        <v>126</v>
      </c>
      <c r="Y8" s="16" t="s">
        <v>127</v>
      </c>
      <c r="Z8" s="16" t="s">
        <v>128</v>
      </c>
      <c r="AA8" s="16">
        <f>IF(U8="",INDEX(Lookups!$J$3:$J$5,MATCH(E8,Lookups!$I$3:$I$5,0)),VALUE(LEFT(U8,FIND(" ",U8)-1)))</f>
        <v>15</v>
      </c>
      <c r="AB8" s="16">
        <f t="shared" si="2"/>
        <v>30</v>
      </c>
    </row>
    <row r="9" spans="1:30" x14ac:dyDescent="0.3">
      <c r="A9" s="16">
        <v>8</v>
      </c>
      <c r="B9" s="16" t="str">
        <f t="shared" si="0"/>
        <v>Fischer, Jonas</v>
      </c>
      <c r="C9" s="16" t="s">
        <v>21</v>
      </c>
      <c r="D9" s="16" t="str">
        <f>"Q"&amp;ROUNDUP(MATCH(C9,Lookups!$L$3:$L$14,0)/3,0)</f>
        <v>Q1</v>
      </c>
      <c r="E9" s="16" t="s">
        <v>42</v>
      </c>
      <c r="F9" s="16" t="s">
        <v>129</v>
      </c>
      <c r="G9" s="16" t="s">
        <v>121</v>
      </c>
      <c r="H9" s="17" t="s">
        <v>122</v>
      </c>
      <c r="I9" s="16" t="str">
        <f>INDEX(Lookups!$B$3:$B$6,MATCH(Y9,Lookups!$A$3:$A$6,0))</f>
        <v>Germany</v>
      </c>
      <c r="J9" s="16" t="str">
        <f>INDEX(Lookups!$C$3:$C$6,MATCH(Y9,Lookups!$A$3:$A$6,0))</f>
        <v>Europe</v>
      </c>
      <c r="K9" s="16" t="str">
        <f>INDEX(Lookups!$D$3:$D$6,MATCH(Y9,Lookups!$A$3:$A$6,0))</f>
        <v>EUR</v>
      </c>
      <c r="L9" s="25">
        <v>800</v>
      </c>
      <c r="M9" s="19">
        <f>ROUND(L9*INDEX(Lookups!$G$3:$G$5,MATCH(K9,Lookups!$F$3:$F$5,0)),0)</f>
        <v>864</v>
      </c>
      <c r="N9" s="20">
        <v>200</v>
      </c>
      <c r="O9" s="21">
        <v>10</v>
      </c>
      <c r="P9" s="19">
        <f t="shared" si="1"/>
        <v>155520</v>
      </c>
      <c r="Q9" s="16" t="str">
        <f>ROUND(AA9*Lookups!$O$3,0)&amp;" - "&amp;ROUND(AB9*Lookups!$O$3,0)&amp;" km/h"</f>
        <v>32 - 56 km/h</v>
      </c>
      <c r="R9" s="22">
        <f>IF(ISNUMBER(SEARCH("meters",W9)),ROUND(VALUE(SUBSTITUTE(LEFT(W9,FIND(" ",W9)-1),",",""))/Lookups!$O$4,0),ROUND(VALUE(LEFT(W9,FIND(" ",W9)-1))*Lookups!$O$3,0))</f>
        <v>64</v>
      </c>
      <c r="S9" s="16" t="s">
        <v>123</v>
      </c>
      <c r="T9" s="16" t="s">
        <v>124</v>
      </c>
      <c r="U9" s="16" t="s">
        <v>92</v>
      </c>
      <c r="V9" s="16" t="s">
        <v>93</v>
      </c>
      <c r="W9" s="16" t="s">
        <v>94</v>
      </c>
      <c r="X9" s="16" t="s">
        <v>130</v>
      </c>
      <c r="Y9" s="16" t="s">
        <v>127</v>
      </c>
      <c r="Z9" s="16" t="s">
        <v>131</v>
      </c>
      <c r="AA9" s="16">
        <f>IF(U9="",INDEX(Lookups!$J$3:$J$5,MATCH(E9,Lookups!$I$3:$I$5,0)),VALUE(LEFT(U9,FIND(" ",U9)-1)))</f>
        <v>20</v>
      </c>
      <c r="AB9" s="16">
        <f t="shared" si="2"/>
        <v>35</v>
      </c>
    </row>
    <row r="10" spans="1:30" x14ac:dyDescent="0.3">
      <c r="A10" s="16">
        <v>9</v>
      </c>
      <c r="B10" s="16" t="str">
        <f t="shared" si="0"/>
        <v>Fischer, Jonas</v>
      </c>
      <c r="C10" s="16" t="s">
        <v>21</v>
      </c>
      <c r="D10" s="16" t="str">
        <f>"Q"&amp;ROUNDUP(MATCH(C10,Lookups!$L$3:$L$14,0)/3,0)</f>
        <v>Q1</v>
      </c>
      <c r="E10" s="16" t="s">
        <v>43</v>
      </c>
      <c r="F10" s="16" t="s">
        <v>132</v>
      </c>
      <c r="G10" s="16" t="s">
        <v>121</v>
      </c>
      <c r="H10" s="17" t="s">
        <v>122</v>
      </c>
      <c r="I10" s="16" t="str">
        <f>INDEX(Lookups!$B$3:$B$6,MATCH(Y10,Lookups!$A$3:$A$6,0))</f>
        <v>Germany</v>
      </c>
      <c r="J10" s="16" t="str">
        <f>INDEX(Lookups!$C$3:$C$6,MATCH(Y10,Lookups!$A$3:$A$6,0))</f>
        <v>Europe</v>
      </c>
      <c r="K10" s="16" t="str">
        <f>INDEX(Lookups!$D$3:$D$6,MATCH(Y10,Lookups!$A$3:$A$6,0))</f>
        <v>EUR</v>
      </c>
      <c r="L10" s="25">
        <v>950</v>
      </c>
      <c r="M10" s="19">
        <f>ROUND(L10*INDEX(Lookups!$G$3:$G$5,MATCH(K10,Lookups!$F$3:$F$5,0)),0)</f>
        <v>1026</v>
      </c>
      <c r="N10" s="20">
        <v>150</v>
      </c>
      <c r="O10" s="21">
        <v>10</v>
      </c>
      <c r="P10" s="19">
        <f t="shared" si="1"/>
        <v>138510</v>
      </c>
      <c r="Q10" s="16" t="str">
        <f>ROUND(AA10*Lookups!$O$3,0)&amp;" - "&amp;ROUND(AB10*Lookups!$O$3,0)&amp;" km/h"</f>
        <v>29 - 45 km/h</v>
      </c>
      <c r="R10" s="22">
        <f>IF(ISNUMBER(SEARCH("meters",W10)),ROUND(VALUE(SUBSTITUTE(LEFT(W10,FIND(" ",W10)-1),",",""))/Lookups!$O$4,0),ROUND(VALUE(LEFT(W10,FIND(" ",W10)-1))*Lookups!$O$3,0))</f>
        <v>40</v>
      </c>
      <c r="S10" s="16" t="s">
        <v>123</v>
      </c>
      <c r="T10" s="16" t="s">
        <v>124</v>
      </c>
      <c r="U10" s="16" t="s">
        <v>99</v>
      </c>
      <c r="V10" s="16" t="s">
        <v>100</v>
      </c>
      <c r="W10" s="16" t="s">
        <v>101</v>
      </c>
      <c r="X10" s="16" t="s">
        <v>133</v>
      </c>
      <c r="Y10" s="16" t="s">
        <v>127</v>
      </c>
      <c r="Z10" s="16" t="s">
        <v>134</v>
      </c>
      <c r="AA10" s="16">
        <f>IF(U10="",INDEX(Lookups!$J$3:$J$5,MATCH(E10,Lookups!$I$3:$I$5,0)),VALUE(LEFT(U10,FIND(" ",U10)-1)))</f>
        <v>18</v>
      </c>
      <c r="AB10" s="16">
        <f t="shared" si="2"/>
        <v>28</v>
      </c>
    </row>
    <row r="11" spans="1:30" x14ac:dyDescent="0.3">
      <c r="A11" s="16">
        <v>10</v>
      </c>
      <c r="B11" s="16" t="str">
        <f t="shared" si="0"/>
        <v>Bernard, Théo</v>
      </c>
      <c r="C11" s="16" t="s">
        <v>21</v>
      </c>
      <c r="D11" s="16" t="str">
        <f>"Q"&amp;ROUNDUP(MATCH(C11,Lookups!$L$3:$L$14,0)/3,0)</f>
        <v>Q1</v>
      </c>
      <c r="E11" s="16" t="s">
        <v>41</v>
      </c>
      <c r="F11" s="16" t="s">
        <v>135</v>
      </c>
      <c r="G11" s="16" t="s">
        <v>136</v>
      </c>
      <c r="H11" s="17" t="s">
        <v>137</v>
      </c>
      <c r="I11" s="16" t="str">
        <f>INDEX(Lookups!$B$3:$B$6,MATCH(Y11,Lookups!$A$3:$A$6,0))</f>
        <v>France</v>
      </c>
      <c r="J11" s="16" t="str">
        <f>INDEX(Lookups!$C$3:$C$6,MATCH(Y11,Lookups!$A$3:$A$6,0))</f>
        <v>Europe</v>
      </c>
      <c r="K11" s="16" t="str">
        <f>INDEX(Lookups!$D$3:$D$6,MATCH(Y11,Lookups!$A$3:$A$6,0))</f>
        <v>EUR</v>
      </c>
      <c r="L11" s="25">
        <v>1100</v>
      </c>
      <c r="M11" s="19">
        <f>ROUND(L11*INDEX(Lookups!$G$3:$G$5,MATCH(K11,Lookups!$F$3:$F$5,0)),0)</f>
        <v>1188</v>
      </c>
      <c r="N11" s="20">
        <v>100</v>
      </c>
      <c r="O11" s="21">
        <v>10</v>
      </c>
      <c r="P11" s="19">
        <f t="shared" si="1"/>
        <v>106920</v>
      </c>
      <c r="Q11" s="16" t="str">
        <f>ROUND(AA11*Lookups!$O$3,0)&amp;" - "&amp;ROUND(AB11*Lookups!$O$3,0)&amp;" km/h"</f>
        <v>24 - 48 km/h</v>
      </c>
      <c r="R11" s="22">
        <f>IF(ISNUMBER(SEARCH("meters",W11)),ROUND(VALUE(SUBSTITUTE(LEFT(W11,FIND(" ",W11)-1),",",""))/Lookups!$O$4,0),ROUND(VALUE(LEFT(W11,FIND(" ",W11)-1))*Lookups!$O$3,0))</f>
        <v>48</v>
      </c>
      <c r="S11" s="16" t="s">
        <v>138</v>
      </c>
      <c r="T11" s="16" t="s">
        <v>139</v>
      </c>
      <c r="U11" s="16" t="s">
        <v>84</v>
      </c>
      <c r="V11" s="16" t="s">
        <v>85</v>
      </c>
      <c r="W11" s="16" t="s">
        <v>86</v>
      </c>
      <c r="X11" s="16" t="s">
        <v>140</v>
      </c>
      <c r="Y11" s="16" t="s">
        <v>141</v>
      </c>
      <c r="Z11" s="16" t="s">
        <v>142</v>
      </c>
      <c r="AA11" s="16">
        <f>IF(U11="",INDEX(Lookups!$J$3:$J$5,MATCH(E11,Lookups!$I$3:$I$5,0)),VALUE(LEFT(U11,FIND(" ",U11)-1)))</f>
        <v>15</v>
      </c>
      <c r="AB11" s="16">
        <f t="shared" si="2"/>
        <v>30</v>
      </c>
    </row>
    <row r="12" spans="1:30" x14ac:dyDescent="0.3">
      <c r="A12" s="16">
        <v>11</v>
      </c>
      <c r="B12" s="16" t="str">
        <f t="shared" si="0"/>
        <v>Bernard, Théo</v>
      </c>
      <c r="C12" s="16" t="s">
        <v>21</v>
      </c>
      <c r="D12" s="16" t="str">
        <f>"Q"&amp;ROUNDUP(MATCH(C12,Lookups!$L$3:$L$14,0)/3,0)</f>
        <v>Q1</v>
      </c>
      <c r="E12" s="16" t="s">
        <v>42</v>
      </c>
      <c r="F12" s="16" t="s">
        <v>143</v>
      </c>
      <c r="G12" s="16" t="s">
        <v>136</v>
      </c>
      <c r="H12" s="17" t="s">
        <v>137</v>
      </c>
      <c r="I12" s="16" t="str">
        <f>INDEX(Lookups!$B$3:$B$6,MATCH(Y12,Lookups!$A$3:$A$6,0))</f>
        <v>France</v>
      </c>
      <c r="J12" s="16" t="str">
        <f>INDEX(Lookups!$C$3:$C$6,MATCH(Y12,Lookups!$A$3:$A$6,0))</f>
        <v>Europe</v>
      </c>
      <c r="K12" s="16" t="str">
        <f>INDEX(Lookups!$D$3:$D$6,MATCH(Y12,Lookups!$A$3:$A$6,0))</f>
        <v>EUR</v>
      </c>
      <c r="L12" s="25">
        <v>900</v>
      </c>
      <c r="M12" s="19">
        <f>ROUND(L12*INDEX(Lookups!$G$3:$G$5,MATCH(K12,Lookups!$F$3:$F$5,0)),0)</f>
        <v>972</v>
      </c>
      <c r="N12" s="20">
        <v>250</v>
      </c>
      <c r="O12" s="21">
        <v>10</v>
      </c>
      <c r="P12" s="19">
        <f t="shared" si="1"/>
        <v>218700</v>
      </c>
      <c r="Q12" s="16" t="str">
        <f>ROUND(AA12*Lookups!$O$3,0)&amp;" - "&amp;ROUND(AB12*Lookups!$O$3,0)&amp;" km/h"</f>
        <v>32 - 56 km/h</v>
      </c>
      <c r="R12" s="22">
        <f>IF(ISNUMBER(SEARCH("meters",W12)),ROUND(VALUE(SUBSTITUTE(LEFT(W12,FIND(" ",W12)-1),",",""))/Lookups!$O$4,0),ROUND(VALUE(LEFT(W12,FIND(" ",W12)-1))*Lookups!$O$3,0))</f>
        <v>64</v>
      </c>
      <c r="S12" s="16" t="s">
        <v>138</v>
      </c>
      <c r="T12" s="16" t="s">
        <v>139</v>
      </c>
      <c r="U12" s="16" t="s">
        <v>92</v>
      </c>
      <c r="V12" s="16" t="s">
        <v>93</v>
      </c>
      <c r="W12" s="16" t="s">
        <v>144</v>
      </c>
      <c r="X12" s="16" t="s">
        <v>145</v>
      </c>
      <c r="Y12" s="16" t="s">
        <v>141</v>
      </c>
      <c r="Z12" s="16" t="s">
        <v>146</v>
      </c>
      <c r="AA12" s="16">
        <f>IF(U12="",INDEX(Lookups!$J$3:$J$5,MATCH(E12,Lookups!$I$3:$I$5,0)),VALUE(LEFT(U12,FIND(" ",U12)-1)))</f>
        <v>20</v>
      </c>
      <c r="AB12" s="16">
        <f t="shared" si="2"/>
        <v>35</v>
      </c>
    </row>
    <row r="13" spans="1:30" x14ac:dyDescent="0.3">
      <c r="A13" s="16">
        <v>12</v>
      </c>
      <c r="B13" s="16" t="str">
        <f t="shared" si="0"/>
        <v>Bernard, Théo</v>
      </c>
      <c r="C13" s="16" t="s">
        <v>21</v>
      </c>
      <c r="D13" s="16" t="str">
        <f>"Q"&amp;ROUNDUP(MATCH(C13,Lookups!$L$3:$L$14,0)/3,0)</f>
        <v>Q1</v>
      </c>
      <c r="E13" s="16" t="s">
        <v>43</v>
      </c>
      <c r="F13" s="16" t="s">
        <v>147</v>
      </c>
      <c r="G13" s="16" t="s">
        <v>136</v>
      </c>
      <c r="H13" s="17" t="s">
        <v>137</v>
      </c>
      <c r="I13" s="16" t="str">
        <f>INDEX(Lookups!$B$3:$B$6,MATCH(Y13,Lookups!$A$3:$A$6,0))</f>
        <v>France</v>
      </c>
      <c r="J13" s="16" t="str">
        <f>INDEX(Lookups!$C$3:$C$6,MATCH(Y13,Lookups!$A$3:$A$6,0))</f>
        <v>Europe</v>
      </c>
      <c r="K13" s="16" t="str">
        <f>INDEX(Lookups!$D$3:$D$6,MATCH(Y13,Lookups!$A$3:$A$6,0))</f>
        <v>EUR</v>
      </c>
      <c r="L13" s="25">
        <v>1050</v>
      </c>
      <c r="M13" s="19">
        <f>ROUND(L13*INDEX(Lookups!$G$3:$G$5,MATCH(K13,Lookups!$F$3:$F$5,0)),0)</f>
        <v>1134</v>
      </c>
      <c r="N13" s="20">
        <v>180</v>
      </c>
      <c r="O13" s="21">
        <v>10</v>
      </c>
      <c r="P13" s="19">
        <f t="shared" si="1"/>
        <v>183708</v>
      </c>
      <c r="Q13" s="16" t="str">
        <f>ROUND(AA13*Lookups!$O$3,0)&amp;" - "&amp;ROUND(AB13*Lookups!$O$3,0)&amp;" km/h"</f>
        <v>29 - 45 km/h</v>
      </c>
      <c r="R13" s="22">
        <f>IF(ISNUMBER(SEARCH("meters",W13)),ROUND(VALUE(SUBSTITUTE(LEFT(W13,FIND(" ",W13)-1),",",""))/Lookups!$O$4,0),ROUND(VALUE(LEFT(W13,FIND(" ",W13)-1))*Lookups!$O$3,0))</f>
        <v>40</v>
      </c>
      <c r="S13" s="16" t="s">
        <v>138</v>
      </c>
      <c r="T13" s="16" t="s">
        <v>139</v>
      </c>
      <c r="U13" s="16" t="s">
        <v>99</v>
      </c>
      <c r="V13" s="16" t="s">
        <v>100</v>
      </c>
      <c r="W13" s="16" t="s">
        <v>101</v>
      </c>
      <c r="X13" s="16" t="s">
        <v>148</v>
      </c>
      <c r="Y13" s="16" t="s">
        <v>141</v>
      </c>
      <c r="Z13" s="16" t="s">
        <v>149</v>
      </c>
      <c r="AA13" s="16">
        <f>IF(U13="",INDEX(Lookups!$J$3:$J$5,MATCH(E13,Lookups!$I$3:$I$5,0)),VALUE(LEFT(U13,FIND(" ",U13)-1)))</f>
        <v>18</v>
      </c>
      <c r="AB13" s="16">
        <f t="shared" si="2"/>
        <v>28</v>
      </c>
    </row>
    <row r="14" spans="1:30" x14ac:dyDescent="0.3">
      <c r="A14" s="16">
        <v>13</v>
      </c>
      <c r="B14" s="16" t="str">
        <f t="shared" si="0"/>
        <v>Joshi, Sanya</v>
      </c>
      <c r="C14" s="16" t="s">
        <v>22</v>
      </c>
      <c r="D14" s="16" t="str">
        <f>"Q"&amp;ROUNDUP(MATCH(C14,Lookups!$L$3:$L$14,0)/3,0)</f>
        <v>Q1</v>
      </c>
      <c r="E14" s="16" t="s">
        <v>41</v>
      </c>
      <c r="F14" s="16" t="s">
        <v>79</v>
      </c>
      <c r="G14" s="16" t="s">
        <v>80</v>
      </c>
      <c r="H14" s="17" t="s">
        <v>81</v>
      </c>
      <c r="I14" s="16" t="str">
        <f>INDEX(Lookups!$B$3:$B$6,MATCH(Y14,Lookups!$A$3:$A$6,0))</f>
        <v>India</v>
      </c>
      <c r="J14" s="16" t="str">
        <f>INDEX(Lookups!$C$3:$C$6,MATCH(Y14,Lookups!$A$3:$A$6,0))</f>
        <v>Asia</v>
      </c>
      <c r="K14" s="16" t="str">
        <f>INDEX(Lookups!$D$3:$D$6,MATCH(Y14,Lookups!$A$3:$A$6,0))</f>
        <v>INR</v>
      </c>
      <c r="L14" s="18">
        <v>30000</v>
      </c>
      <c r="M14" s="19">
        <f>ROUND(L14*INDEX(Lookups!$G$3:$G$5,MATCH(K14,Lookups!$F$3:$F$5,0)),0)</f>
        <v>360</v>
      </c>
      <c r="N14" s="20">
        <v>160</v>
      </c>
      <c r="O14" s="21">
        <v>0</v>
      </c>
      <c r="P14" s="19">
        <f t="shared" si="1"/>
        <v>57600</v>
      </c>
      <c r="Q14" s="16" t="str">
        <f>ROUND(AA14*Lookups!$O$3,0)&amp;" - "&amp;ROUND(AB14*Lookups!$O$3,0)&amp;" km/h"</f>
        <v>24 - 48 km/h</v>
      </c>
      <c r="R14" s="22">
        <f>IF(ISNUMBER(SEARCH("meters",W14)),ROUND(VALUE(SUBSTITUTE(LEFT(W14,FIND(" ",W14)-1),",",""))/Lookups!$O$4,0),ROUND(VALUE(LEFT(W14,FIND(" ",W14)-1))*Lookups!$O$3,0))</f>
        <v>48</v>
      </c>
      <c r="S14" s="16" t="s">
        <v>82</v>
      </c>
      <c r="T14" s="16" t="s">
        <v>83</v>
      </c>
      <c r="U14" s="16" t="s">
        <v>84</v>
      </c>
      <c r="V14" s="16" t="s">
        <v>85</v>
      </c>
      <c r="W14" s="16" t="s">
        <v>86</v>
      </c>
      <c r="X14" s="16" t="s">
        <v>87</v>
      </c>
      <c r="Y14" s="16" t="s">
        <v>88</v>
      </c>
      <c r="Z14" s="16" t="s">
        <v>89</v>
      </c>
      <c r="AA14" s="16">
        <f>IF(U14="",INDEX(Lookups!$J$3:$J$5,MATCH(E14,Lookups!$I$3:$I$5,0)),VALUE(LEFT(U14,FIND(" ",U14)-1)))</f>
        <v>15</v>
      </c>
      <c r="AB14" s="16">
        <f t="shared" si="2"/>
        <v>30</v>
      </c>
    </row>
    <row r="15" spans="1:30" x14ac:dyDescent="0.3">
      <c r="A15" s="16">
        <v>14</v>
      </c>
      <c r="B15" s="16" t="str">
        <f t="shared" si="0"/>
        <v>Joshi, Sanya</v>
      </c>
      <c r="C15" s="16" t="s">
        <v>22</v>
      </c>
      <c r="D15" s="16" t="str">
        <f>"Q"&amp;ROUNDUP(MATCH(C15,Lookups!$L$3:$L$14,0)/3,0)</f>
        <v>Q1</v>
      </c>
      <c r="E15" s="16" t="s">
        <v>42</v>
      </c>
      <c r="F15" s="16" t="s">
        <v>91</v>
      </c>
      <c r="G15" s="16" t="s">
        <v>80</v>
      </c>
      <c r="H15" s="17" t="s">
        <v>81</v>
      </c>
      <c r="I15" s="16" t="str">
        <f>INDEX(Lookups!$B$3:$B$6,MATCH(Y15,Lookups!$A$3:$A$6,0))</f>
        <v>India</v>
      </c>
      <c r="J15" s="16" t="str">
        <f>INDEX(Lookups!$C$3:$C$6,MATCH(Y15,Lookups!$A$3:$A$6,0))</f>
        <v>Asia</v>
      </c>
      <c r="K15" s="16" t="str">
        <f>INDEX(Lookups!$D$3:$D$6,MATCH(Y15,Lookups!$A$3:$A$6,0))</f>
        <v>INR</v>
      </c>
      <c r="L15" s="18">
        <v>25000</v>
      </c>
      <c r="M15" s="19">
        <f>ROUND(L15*INDEX(Lookups!$G$3:$G$5,MATCH(K15,Lookups!$F$3:$F$5,0)),0)</f>
        <v>300</v>
      </c>
      <c r="N15" s="20">
        <v>350</v>
      </c>
      <c r="O15" s="21">
        <v>0</v>
      </c>
      <c r="P15" s="19">
        <f t="shared" si="1"/>
        <v>105000</v>
      </c>
      <c r="Q15" s="16" t="str">
        <f>ROUND(AA15*Lookups!$O$3,0)&amp;" - "&amp;ROUND(AB15*Lookups!$O$3,0)&amp;" km/h"</f>
        <v>32 - 56 km/h</v>
      </c>
      <c r="R15" s="22">
        <f>IF(ISNUMBER(SEARCH("meters",W15)),ROUND(VALUE(SUBSTITUTE(LEFT(W15,FIND(" ",W15)-1),",",""))/Lookups!$O$4,0),ROUND(VALUE(LEFT(W15,FIND(" ",W15)-1))*Lookups!$O$3,0))</f>
        <v>64</v>
      </c>
      <c r="S15" s="16" t="s">
        <v>82</v>
      </c>
      <c r="T15" s="16" t="s">
        <v>83</v>
      </c>
      <c r="U15" s="16"/>
      <c r="V15" s="16" t="s">
        <v>93</v>
      </c>
      <c r="W15" s="16" t="s">
        <v>94</v>
      </c>
      <c r="X15" s="16" t="s">
        <v>95</v>
      </c>
      <c r="Y15" s="16" t="s">
        <v>88</v>
      </c>
      <c r="Z15" s="16" t="s">
        <v>96</v>
      </c>
      <c r="AA15" s="16">
        <f>IF(U15="",INDEX(Lookups!$J$3:$J$5,MATCH(E15,Lookups!$I$3:$I$5,0)),VALUE(LEFT(U15,FIND(" ",U15)-1)))</f>
        <v>20</v>
      </c>
      <c r="AB15" s="16">
        <f t="shared" si="2"/>
        <v>35</v>
      </c>
    </row>
    <row r="16" spans="1:30" x14ac:dyDescent="0.3">
      <c r="A16" s="16">
        <v>15</v>
      </c>
      <c r="B16" s="16" t="str">
        <f t="shared" si="0"/>
        <v>Joshi, Sanya</v>
      </c>
      <c r="C16" s="16" t="s">
        <v>22</v>
      </c>
      <c r="D16" s="16" t="str">
        <f>"Q"&amp;ROUNDUP(MATCH(C16,Lookups!$L$3:$L$14,0)/3,0)</f>
        <v>Q1</v>
      </c>
      <c r="E16" s="16" t="s">
        <v>43</v>
      </c>
      <c r="F16" s="16" t="s">
        <v>98</v>
      </c>
      <c r="G16" s="16" t="s">
        <v>80</v>
      </c>
      <c r="H16" s="17" t="s">
        <v>81</v>
      </c>
      <c r="I16" s="16" t="str">
        <f>INDEX(Lookups!$B$3:$B$6,MATCH(Y16,Lookups!$A$3:$A$6,0))</f>
        <v>India</v>
      </c>
      <c r="J16" s="16" t="str">
        <f>INDEX(Lookups!$C$3:$C$6,MATCH(Y16,Lookups!$A$3:$A$6,0))</f>
        <v>Asia</v>
      </c>
      <c r="K16" s="16" t="str">
        <f>INDEX(Lookups!$D$3:$D$6,MATCH(Y16,Lookups!$A$3:$A$6,0))</f>
        <v>INR</v>
      </c>
      <c r="L16" s="18">
        <v>22000</v>
      </c>
      <c r="M16" s="19">
        <f>ROUND(L16*INDEX(Lookups!$G$3:$G$5,MATCH(K16,Lookups!$F$3:$F$5,0)),0)</f>
        <v>264</v>
      </c>
      <c r="N16" s="20">
        <v>220</v>
      </c>
      <c r="O16" s="21">
        <v>0</v>
      </c>
      <c r="P16" s="19">
        <f t="shared" si="1"/>
        <v>58080</v>
      </c>
      <c r="Q16" s="16" t="str">
        <f>ROUND(AA16*Lookups!$O$3,0)&amp;" - "&amp;ROUND(AB16*Lookups!$O$3,0)&amp;" km/h"</f>
        <v>29 - 45 km/h</v>
      </c>
      <c r="R16" s="22">
        <f>IF(ISNUMBER(SEARCH("meters",W16)),ROUND(VALUE(SUBSTITUTE(LEFT(W16,FIND(" ",W16)-1),",",""))/Lookups!$O$4,0),ROUND(VALUE(LEFT(W16,FIND(" ",W16)-1))*Lookups!$O$3,0))</f>
        <v>40</v>
      </c>
      <c r="S16" s="16" t="s">
        <v>82</v>
      </c>
      <c r="T16" s="16" t="s">
        <v>83</v>
      </c>
      <c r="U16" s="16" t="s">
        <v>99</v>
      </c>
      <c r="V16" s="16" t="s">
        <v>100</v>
      </c>
      <c r="W16" s="16" t="s">
        <v>101</v>
      </c>
      <c r="X16" s="16" t="s">
        <v>102</v>
      </c>
      <c r="Y16" s="16" t="s">
        <v>88</v>
      </c>
      <c r="Z16" s="16" t="s">
        <v>103</v>
      </c>
      <c r="AA16" s="16">
        <f>IF(U16="",INDEX(Lookups!$J$3:$J$5,MATCH(E16,Lookups!$I$3:$I$5,0)),VALUE(LEFT(U16,FIND(" ",U16)-1)))</f>
        <v>18</v>
      </c>
      <c r="AB16" s="16">
        <f t="shared" si="2"/>
        <v>28</v>
      </c>
    </row>
    <row r="17" spans="1:28" x14ac:dyDescent="0.3">
      <c r="A17" s="16">
        <v>16</v>
      </c>
      <c r="B17" s="16" t="str">
        <f t="shared" si="0"/>
        <v>Liu, Fang</v>
      </c>
      <c r="C17" s="16" t="s">
        <v>22</v>
      </c>
      <c r="D17" s="16" t="str">
        <f>"Q"&amp;ROUNDUP(MATCH(C17,Lookups!$L$3:$L$14,0)/3,0)</f>
        <v>Q1</v>
      </c>
      <c r="E17" s="16" t="s">
        <v>41</v>
      </c>
      <c r="F17" s="16" t="s">
        <v>105</v>
      </c>
      <c r="G17" s="16" t="s">
        <v>106</v>
      </c>
      <c r="H17" s="17" t="s">
        <v>107</v>
      </c>
      <c r="I17" s="16" t="str">
        <f>INDEX(Lookups!$B$3:$B$6,MATCH(Y17,Lookups!$A$3:$A$6,0))</f>
        <v>China</v>
      </c>
      <c r="J17" s="16" t="str">
        <f>INDEX(Lookups!$C$3:$C$6,MATCH(Y17,Lookups!$A$3:$A$6,0))</f>
        <v>Asia</v>
      </c>
      <c r="K17" s="16" t="str">
        <f>INDEX(Lookups!$D$3:$D$6,MATCH(Y17,Lookups!$A$3:$A$6,0))</f>
        <v>CNY</v>
      </c>
      <c r="L17" s="24">
        <v>5000</v>
      </c>
      <c r="M17" s="19">
        <f>ROUND(L17*INDEX(Lookups!$G$3:$G$5,MATCH(K17,Lookups!$F$3:$F$5,0)),0)</f>
        <v>700</v>
      </c>
      <c r="N17" s="20">
        <v>550</v>
      </c>
      <c r="O17" s="21">
        <v>0</v>
      </c>
      <c r="P17" s="19">
        <f t="shared" si="1"/>
        <v>385000</v>
      </c>
      <c r="Q17" s="16" t="str">
        <f>ROUND(AA17*Lookups!$O$3,0)&amp;" - "&amp;ROUND(AB17*Lookups!$O$3,0)&amp;" km/h"</f>
        <v>24 - 48 km/h</v>
      </c>
      <c r="R17" s="22">
        <f>IF(ISNUMBER(SEARCH("meters",W17)),ROUND(VALUE(SUBSTITUTE(LEFT(W17,FIND(" ",W17)-1),",",""))/Lookups!$O$4,0),ROUND(VALUE(LEFT(W17,FIND(" ",W17)-1))*Lookups!$O$3,0))</f>
        <v>48</v>
      </c>
      <c r="S17" s="16" t="s">
        <v>108</v>
      </c>
      <c r="T17" s="16" t="s">
        <v>109</v>
      </c>
      <c r="U17" s="16" t="s">
        <v>84</v>
      </c>
      <c r="V17" s="16" t="s">
        <v>85</v>
      </c>
      <c r="W17" s="16" t="s">
        <v>125</v>
      </c>
      <c r="X17" s="16" t="s">
        <v>110</v>
      </c>
      <c r="Y17" s="16" t="s">
        <v>111</v>
      </c>
      <c r="Z17" s="16" t="s">
        <v>112</v>
      </c>
      <c r="AA17" s="16">
        <f>IF(U17="",INDEX(Lookups!$J$3:$J$5,MATCH(E17,Lookups!$I$3:$I$5,0)),VALUE(LEFT(U17,FIND(" ",U17)-1)))</f>
        <v>15</v>
      </c>
      <c r="AB17" s="16">
        <f t="shared" si="2"/>
        <v>30</v>
      </c>
    </row>
    <row r="18" spans="1:28" x14ac:dyDescent="0.3">
      <c r="A18" s="16">
        <v>17</v>
      </c>
      <c r="B18" s="16" t="str">
        <f t="shared" si="0"/>
        <v>Liu, Fang</v>
      </c>
      <c r="C18" s="16" t="s">
        <v>22</v>
      </c>
      <c r="D18" s="16" t="str">
        <f>"Q"&amp;ROUNDUP(MATCH(C18,Lookups!$L$3:$L$14,0)/3,0)</f>
        <v>Q1</v>
      </c>
      <c r="E18" s="16" t="s">
        <v>42</v>
      </c>
      <c r="F18" s="16" t="s">
        <v>113</v>
      </c>
      <c r="G18" s="16" t="s">
        <v>106</v>
      </c>
      <c r="H18" s="17" t="s">
        <v>107</v>
      </c>
      <c r="I18" s="16" t="str">
        <f>INDEX(Lookups!$B$3:$B$6,MATCH(Y18,Lookups!$A$3:$A$6,0))</f>
        <v>China</v>
      </c>
      <c r="J18" s="16" t="str">
        <f>INDEX(Lookups!$C$3:$C$6,MATCH(Y18,Lookups!$A$3:$A$6,0))</f>
        <v>Asia</v>
      </c>
      <c r="K18" s="16" t="str">
        <f>INDEX(Lookups!$D$3:$D$6,MATCH(Y18,Lookups!$A$3:$A$6,0))</f>
        <v>CNY</v>
      </c>
      <c r="L18" s="24">
        <v>3500</v>
      </c>
      <c r="M18" s="19">
        <f>ROUND(L18*INDEX(Lookups!$G$3:$G$5,MATCH(K18,Lookups!$F$3:$F$5,0)),0)</f>
        <v>490</v>
      </c>
      <c r="N18" s="20">
        <v>1200</v>
      </c>
      <c r="O18" s="21">
        <v>0</v>
      </c>
      <c r="P18" s="19">
        <f t="shared" si="1"/>
        <v>588000</v>
      </c>
      <c r="Q18" s="16" t="str">
        <f>ROUND(AA18*Lookups!$O$3,0)&amp;" - "&amp;ROUND(AB18*Lookups!$O$3,0)&amp;" km/h"</f>
        <v>32 - 56 km/h</v>
      </c>
      <c r="R18" s="22">
        <f>IF(ISNUMBER(SEARCH("meters",W18)),ROUND(VALUE(SUBSTITUTE(LEFT(W18,FIND(" ",W18)-1),",",""))/Lookups!$O$4,0),ROUND(VALUE(LEFT(W18,FIND(" ",W18)-1))*Lookups!$O$3,0))</f>
        <v>64</v>
      </c>
      <c r="S18" s="16" t="s">
        <v>108</v>
      </c>
      <c r="T18" s="16" t="s">
        <v>109</v>
      </c>
      <c r="U18" s="16" t="s">
        <v>92</v>
      </c>
      <c r="V18" s="16" t="s">
        <v>93</v>
      </c>
      <c r="W18" s="16" t="s">
        <v>94</v>
      </c>
      <c r="X18" s="16" t="s">
        <v>114</v>
      </c>
      <c r="Y18" s="16" t="s">
        <v>111</v>
      </c>
      <c r="Z18" s="16" t="s">
        <v>115</v>
      </c>
      <c r="AA18" s="16">
        <f>IF(U18="",INDEX(Lookups!$J$3:$J$5,MATCH(E18,Lookups!$I$3:$I$5,0)),VALUE(LEFT(U18,FIND(" ",U18)-1)))</f>
        <v>20</v>
      </c>
      <c r="AB18" s="16">
        <f t="shared" si="2"/>
        <v>35</v>
      </c>
    </row>
    <row r="19" spans="1:28" x14ac:dyDescent="0.3">
      <c r="A19" s="16">
        <v>18</v>
      </c>
      <c r="B19" s="16" t="str">
        <f t="shared" si="0"/>
        <v>Liu, Fang</v>
      </c>
      <c r="C19" s="16" t="s">
        <v>22</v>
      </c>
      <c r="D19" s="16" t="str">
        <f>"Q"&amp;ROUNDUP(MATCH(C19,Lookups!$L$3:$L$14,0)/3,0)</f>
        <v>Q1</v>
      </c>
      <c r="E19" s="16" t="s">
        <v>43</v>
      </c>
      <c r="F19" s="16" t="s">
        <v>116</v>
      </c>
      <c r="G19" s="16" t="s">
        <v>106</v>
      </c>
      <c r="H19" s="17" t="s">
        <v>107</v>
      </c>
      <c r="I19" s="16" t="str">
        <f>INDEX(Lookups!$B$3:$B$6,MATCH(Y19,Lookups!$A$3:$A$6,0))</f>
        <v>China</v>
      </c>
      <c r="J19" s="16" t="str">
        <f>INDEX(Lookups!$C$3:$C$6,MATCH(Y19,Lookups!$A$3:$A$6,0))</f>
        <v>Asia</v>
      </c>
      <c r="K19" s="16" t="str">
        <f>INDEX(Lookups!$D$3:$D$6,MATCH(Y19,Lookups!$A$3:$A$6,0))</f>
        <v>CNY</v>
      </c>
      <c r="L19" s="24">
        <v>4200</v>
      </c>
      <c r="M19" s="19">
        <f>ROUND(L19*INDEX(Lookups!$G$3:$G$5,MATCH(K19,Lookups!$F$3:$F$5,0)),0)</f>
        <v>588</v>
      </c>
      <c r="N19" s="20">
        <v>850</v>
      </c>
      <c r="O19" s="21">
        <v>0</v>
      </c>
      <c r="P19" s="19">
        <f t="shared" si="1"/>
        <v>499800</v>
      </c>
      <c r="Q19" s="16" t="str">
        <f>ROUND(AA19*Lookups!$O$3,0)&amp;" - "&amp;ROUND(AB19*Lookups!$O$3,0)&amp;" km/h"</f>
        <v>29 - 45 km/h</v>
      </c>
      <c r="R19" s="22">
        <f>IF(ISNUMBER(SEARCH("meters",W19)),ROUND(VALUE(SUBSTITUTE(LEFT(W19,FIND(" ",W19)-1),",",""))/Lookups!$O$4,0),ROUND(VALUE(LEFT(W19,FIND(" ",W19)-1))*Lookups!$O$3,0))</f>
        <v>40</v>
      </c>
      <c r="S19" s="16" t="s">
        <v>108</v>
      </c>
      <c r="T19" s="16" t="s">
        <v>109</v>
      </c>
      <c r="U19" s="16" t="s">
        <v>99</v>
      </c>
      <c r="V19" s="16" t="s">
        <v>100</v>
      </c>
      <c r="W19" s="16" t="s">
        <v>101</v>
      </c>
      <c r="X19" s="16" t="s">
        <v>118</v>
      </c>
      <c r="Y19" s="16" t="s">
        <v>111</v>
      </c>
      <c r="Z19" s="16" t="s">
        <v>119</v>
      </c>
      <c r="AA19" s="16">
        <f>IF(U19="",INDEX(Lookups!$J$3:$J$5,MATCH(E19,Lookups!$I$3:$I$5,0)),VALUE(LEFT(U19,FIND(" ",U19)-1)))</f>
        <v>18</v>
      </c>
      <c r="AB19" s="16">
        <f t="shared" si="2"/>
        <v>28</v>
      </c>
    </row>
    <row r="20" spans="1:28" x14ac:dyDescent="0.3">
      <c r="A20" s="16">
        <v>19</v>
      </c>
      <c r="B20" s="16" t="str">
        <f t="shared" si="0"/>
        <v>Fischer, Jonas</v>
      </c>
      <c r="C20" s="16" t="s">
        <v>22</v>
      </c>
      <c r="D20" s="16" t="str">
        <f>"Q"&amp;ROUNDUP(MATCH(C20,Lookups!$L$3:$L$14,0)/3,0)</f>
        <v>Q1</v>
      </c>
      <c r="E20" s="16" t="s">
        <v>41</v>
      </c>
      <c r="F20" s="16" t="s">
        <v>120</v>
      </c>
      <c r="G20" s="16" t="s">
        <v>121</v>
      </c>
      <c r="H20" s="17" t="s">
        <v>122</v>
      </c>
      <c r="I20" s="16" t="str">
        <f>INDEX(Lookups!$B$3:$B$6,MATCH(Y20,Lookups!$A$3:$A$6,0))</f>
        <v>Germany</v>
      </c>
      <c r="J20" s="16" t="str">
        <f>INDEX(Lookups!$C$3:$C$6,MATCH(Y20,Lookups!$A$3:$A$6,0))</f>
        <v>Europe</v>
      </c>
      <c r="K20" s="16" t="str">
        <f>INDEX(Lookups!$D$3:$D$6,MATCH(Y20,Lookups!$A$3:$A$6,0))</f>
        <v>EUR</v>
      </c>
      <c r="L20" s="25">
        <v>1000</v>
      </c>
      <c r="M20" s="19">
        <f>ROUND(L20*INDEX(Lookups!$G$3:$G$5,MATCH(K20,Lookups!$F$3:$F$5,0)),0)</f>
        <v>1080</v>
      </c>
      <c r="N20" s="20">
        <v>130</v>
      </c>
      <c r="O20" s="21">
        <v>0</v>
      </c>
      <c r="P20" s="19">
        <f t="shared" si="1"/>
        <v>140400</v>
      </c>
      <c r="Q20" s="16" t="str">
        <f>ROUND(AA20*Lookups!$O$3,0)&amp;" - "&amp;ROUND(AB20*Lookups!$O$3,0)&amp;" km/h"</f>
        <v>24 - 48 km/h</v>
      </c>
      <c r="R20" s="22">
        <f>IF(ISNUMBER(SEARCH("meters",W20)),ROUND(VALUE(SUBSTITUTE(LEFT(W20,FIND(" ",W20)-1),",",""))/Lookups!$O$4,0),ROUND(VALUE(LEFT(W20,FIND(" ",W20)-1))*Lookups!$O$3,0))</f>
        <v>48</v>
      </c>
      <c r="S20" s="16" t="s">
        <v>123</v>
      </c>
      <c r="T20" s="16" t="s">
        <v>124</v>
      </c>
      <c r="U20" s="16" t="s">
        <v>84</v>
      </c>
      <c r="V20" s="16" t="s">
        <v>85</v>
      </c>
      <c r="W20" s="16" t="s">
        <v>86</v>
      </c>
      <c r="X20" s="16" t="s">
        <v>126</v>
      </c>
      <c r="Y20" s="16" t="s">
        <v>127</v>
      </c>
      <c r="Z20" s="16" t="s">
        <v>128</v>
      </c>
      <c r="AA20" s="16">
        <f>IF(U20="",INDEX(Lookups!$J$3:$J$5,MATCH(E20,Lookups!$I$3:$I$5,0)),VALUE(LEFT(U20,FIND(" ",U20)-1)))</f>
        <v>15</v>
      </c>
      <c r="AB20" s="16">
        <f t="shared" si="2"/>
        <v>30</v>
      </c>
    </row>
    <row r="21" spans="1:28" x14ac:dyDescent="0.3">
      <c r="A21" s="16">
        <v>20</v>
      </c>
      <c r="B21" s="16" t="str">
        <f t="shared" si="0"/>
        <v>Fischer, Jonas</v>
      </c>
      <c r="C21" s="16" t="s">
        <v>22</v>
      </c>
      <c r="D21" s="16" t="str">
        <f>"Q"&amp;ROUNDUP(MATCH(C21,Lookups!$L$3:$L$14,0)/3,0)</f>
        <v>Q1</v>
      </c>
      <c r="E21" s="16" t="s">
        <v>42</v>
      </c>
      <c r="F21" s="16" t="s">
        <v>129</v>
      </c>
      <c r="G21" s="16" t="s">
        <v>121</v>
      </c>
      <c r="H21" s="17" t="s">
        <v>122</v>
      </c>
      <c r="I21" s="16" t="str">
        <f>INDEX(Lookups!$B$3:$B$6,MATCH(Y21,Lookups!$A$3:$A$6,0))</f>
        <v>Germany</v>
      </c>
      <c r="J21" s="16" t="str">
        <f>INDEX(Lookups!$C$3:$C$6,MATCH(Y21,Lookups!$A$3:$A$6,0))</f>
        <v>Europe</v>
      </c>
      <c r="K21" s="16" t="str">
        <f>INDEX(Lookups!$D$3:$D$6,MATCH(Y21,Lookups!$A$3:$A$6,0))</f>
        <v>EUR</v>
      </c>
      <c r="L21" s="25">
        <v>800</v>
      </c>
      <c r="M21" s="19">
        <f>ROUND(L21*INDEX(Lookups!$G$3:$G$5,MATCH(K21,Lookups!$F$3:$F$5,0)),0)</f>
        <v>864</v>
      </c>
      <c r="N21" s="20">
        <v>220</v>
      </c>
      <c r="O21" s="21">
        <v>0</v>
      </c>
      <c r="P21" s="19">
        <f t="shared" si="1"/>
        <v>190080</v>
      </c>
      <c r="Q21" s="16" t="str">
        <f>ROUND(AA21*Lookups!$O$3,0)&amp;" - "&amp;ROUND(AB21*Lookups!$O$3,0)&amp;" km/h"</f>
        <v>32 - 56 km/h</v>
      </c>
      <c r="R21" s="22">
        <f>IF(ISNUMBER(SEARCH("meters",W21)),ROUND(VALUE(SUBSTITUTE(LEFT(W21,FIND(" ",W21)-1),",",""))/Lookups!$O$4,0),ROUND(VALUE(LEFT(W21,FIND(" ",W21)-1))*Lookups!$O$3,0))</f>
        <v>64</v>
      </c>
      <c r="S21" s="16" t="s">
        <v>123</v>
      </c>
      <c r="T21" s="16" t="s">
        <v>124</v>
      </c>
      <c r="U21" s="16" t="s">
        <v>92</v>
      </c>
      <c r="V21" s="16" t="s">
        <v>93</v>
      </c>
      <c r="W21" s="16" t="s">
        <v>94</v>
      </c>
      <c r="X21" s="16" t="s">
        <v>130</v>
      </c>
      <c r="Y21" s="16" t="s">
        <v>127</v>
      </c>
      <c r="Z21" s="16" t="s">
        <v>131</v>
      </c>
      <c r="AA21" s="16">
        <f>IF(U21="",INDEX(Lookups!$J$3:$J$5,MATCH(E21,Lookups!$I$3:$I$5,0)),VALUE(LEFT(U21,FIND(" ",U21)-1)))</f>
        <v>20</v>
      </c>
      <c r="AB21" s="16">
        <f t="shared" si="2"/>
        <v>35</v>
      </c>
    </row>
    <row r="22" spans="1:28" x14ac:dyDescent="0.3">
      <c r="A22" s="16">
        <v>21</v>
      </c>
      <c r="B22" s="16" t="str">
        <f t="shared" si="0"/>
        <v>Fischer, Jonas</v>
      </c>
      <c r="C22" s="16" t="s">
        <v>22</v>
      </c>
      <c r="D22" s="16" t="str">
        <f>"Q"&amp;ROUNDUP(MATCH(C22,Lookups!$L$3:$L$14,0)/3,0)</f>
        <v>Q1</v>
      </c>
      <c r="E22" s="16" t="s">
        <v>43</v>
      </c>
      <c r="F22" s="16" t="s">
        <v>132</v>
      </c>
      <c r="G22" s="16" t="s">
        <v>121</v>
      </c>
      <c r="H22" s="17" t="s">
        <v>122</v>
      </c>
      <c r="I22" s="16" t="str">
        <f>INDEX(Lookups!$B$3:$B$6,MATCH(Y22,Lookups!$A$3:$A$6,0))</f>
        <v>Germany</v>
      </c>
      <c r="J22" s="16" t="str">
        <f>INDEX(Lookups!$C$3:$C$6,MATCH(Y22,Lookups!$A$3:$A$6,0))</f>
        <v>Europe</v>
      </c>
      <c r="K22" s="16" t="str">
        <f>INDEX(Lookups!$D$3:$D$6,MATCH(Y22,Lookups!$A$3:$A$6,0))</f>
        <v>EUR</v>
      </c>
      <c r="L22" s="25">
        <v>950</v>
      </c>
      <c r="M22" s="19">
        <f>ROUND(L22*INDEX(Lookups!$G$3:$G$5,MATCH(K22,Lookups!$F$3:$F$5,0)),0)</f>
        <v>1026</v>
      </c>
      <c r="N22" s="20">
        <v>160</v>
      </c>
      <c r="O22" s="21">
        <v>0</v>
      </c>
      <c r="P22" s="19">
        <f t="shared" si="1"/>
        <v>164160</v>
      </c>
      <c r="Q22" s="16" t="str">
        <f>ROUND(AA22*Lookups!$O$3,0)&amp;" - "&amp;ROUND(AB22*Lookups!$O$3,0)&amp;" km/h"</f>
        <v>29 - 45 km/h</v>
      </c>
      <c r="R22" s="22">
        <f>IF(ISNUMBER(SEARCH("meters",W22)),ROUND(VALUE(SUBSTITUTE(LEFT(W22,FIND(" ",W22)-1),",",""))/Lookups!$O$4,0),ROUND(VALUE(LEFT(W22,FIND(" ",W22)-1))*Lookups!$O$3,0))</f>
        <v>40</v>
      </c>
      <c r="S22" s="16" t="s">
        <v>123</v>
      </c>
      <c r="T22" s="16" t="s">
        <v>124</v>
      </c>
      <c r="U22" s="16" t="s">
        <v>99</v>
      </c>
      <c r="V22" s="16" t="s">
        <v>100</v>
      </c>
      <c r="W22" s="16" t="s">
        <v>101</v>
      </c>
      <c r="X22" s="16" t="s">
        <v>133</v>
      </c>
      <c r="Y22" s="16" t="s">
        <v>127</v>
      </c>
      <c r="Z22" s="16" t="s">
        <v>134</v>
      </c>
      <c r="AA22" s="16">
        <f>IF(U22="",INDEX(Lookups!$J$3:$J$5,MATCH(E22,Lookups!$I$3:$I$5,0)),VALUE(LEFT(U22,FIND(" ",U22)-1)))</f>
        <v>18</v>
      </c>
      <c r="AB22" s="16">
        <f t="shared" si="2"/>
        <v>28</v>
      </c>
    </row>
    <row r="23" spans="1:28" x14ac:dyDescent="0.3">
      <c r="A23" s="16">
        <v>22</v>
      </c>
      <c r="B23" s="16" t="str">
        <f t="shared" si="0"/>
        <v>Bernard, Théo</v>
      </c>
      <c r="C23" s="16" t="s">
        <v>22</v>
      </c>
      <c r="D23" s="16" t="str">
        <f>"Q"&amp;ROUNDUP(MATCH(C23,Lookups!$L$3:$L$14,0)/3,0)</f>
        <v>Q1</v>
      </c>
      <c r="E23" s="16" t="s">
        <v>41</v>
      </c>
      <c r="F23" s="16" t="s">
        <v>135</v>
      </c>
      <c r="G23" s="16" t="s">
        <v>136</v>
      </c>
      <c r="H23" s="17" t="s">
        <v>137</v>
      </c>
      <c r="I23" s="16" t="str">
        <f>INDEX(Lookups!$B$3:$B$6,MATCH(Y23,Lookups!$A$3:$A$6,0))</f>
        <v>France</v>
      </c>
      <c r="J23" s="16" t="str">
        <f>INDEX(Lookups!$C$3:$C$6,MATCH(Y23,Lookups!$A$3:$A$6,0))</f>
        <v>Europe</v>
      </c>
      <c r="K23" s="16" t="str">
        <f>INDEX(Lookups!$D$3:$D$6,MATCH(Y23,Lookups!$A$3:$A$6,0))</f>
        <v>EUR</v>
      </c>
      <c r="L23" s="25">
        <v>1100</v>
      </c>
      <c r="M23" s="19">
        <f>ROUND(L23*INDEX(Lookups!$G$3:$G$5,MATCH(K23,Lookups!$F$3:$F$5,0)),0)</f>
        <v>1188</v>
      </c>
      <c r="N23" s="20">
        <v>110</v>
      </c>
      <c r="O23" s="21">
        <v>0</v>
      </c>
      <c r="P23" s="19">
        <f t="shared" si="1"/>
        <v>130680</v>
      </c>
      <c r="Q23" s="16" t="str">
        <f>ROUND(AA23*Lookups!$O$3,0)&amp;" - "&amp;ROUND(AB23*Lookups!$O$3,0)&amp;" km/h"</f>
        <v>24 - 48 km/h</v>
      </c>
      <c r="R23" s="22">
        <f>IF(ISNUMBER(SEARCH("meters",W23)),ROUND(VALUE(SUBSTITUTE(LEFT(W23,FIND(" ",W23)-1),",",""))/Lookups!$O$4,0),ROUND(VALUE(LEFT(W23,FIND(" ",W23)-1))*Lookups!$O$3,0))</f>
        <v>48</v>
      </c>
      <c r="S23" s="16" t="s">
        <v>138</v>
      </c>
      <c r="T23" s="16" t="s">
        <v>139</v>
      </c>
      <c r="U23" s="16" t="s">
        <v>84</v>
      </c>
      <c r="V23" s="16" t="s">
        <v>85</v>
      </c>
      <c r="W23" s="16" t="s">
        <v>86</v>
      </c>
      <c r="X23" s="16" t="s">
        <v>140</v>
      </c>
      <c r="Y23" s="16" t="s">
        <v>141</v>
      </c>
      <c r="Z23" s="16" t="s">
        <v>142</v>
      </c>
      <c r="AA23" s="16">
        <f>IF(U23="",INDEX(Lookups!$J$3:$J$5,MATCH(E23,Lookups!$I$3:$I$5,0)),VALUE(LEFT(U23,FIND(" ",U23)-1)))</f>
        <v>15</v>
      </c>
      <c r="AB23" s="16">
        <f t="shared" si="2"/>
        <v>30</v>
      </c>
    </row>
    <row r="24" spans="1:28" x14ac:dyDescent="0.3">
      <c r="A24" s="16">
        <v>23</v>
      </c>
      <c r="B24" s="16" t="str">
        <f t="shared" si="0"/>
        <v>Bernard, Théo</v>
      </c>
      <c r="C24" s="16" t="s">
        <v>22</v>
      </c>
      <c r="D24" s="16" t="str">
        <f>"Q"&amp;ROUNDUP(MATCH(C24,Lookups!$L$3:$L$14,0)/3,0)</f>
        <v>Q1</v>
      </c>
      <c r="E24" s="16" t="s">
        <v>42</v>
      </c>
      <c r="F24" s="16" t="s">
        <v>143</v>
      </c>
      <c r="G24" s="16" t="s">
        <v>136</v>
      </c>
      <c r="H24" s="17" t="s">
        <v>137</v>
      </c>
      <c r="I24" s="16" t="str">
        <f>INDEX(Lookups!$B$3:$B$6,MATCH(Y24,Lookups!$A$3:$A$6,0))</f>
        <v>France</v>
      </c>
      <c r="J24" s="16" t="str">
        <f>INDEX(Lookups!$C$3:$C$6,MATCH(Y24,Lookups!$A$3:$A$6,0))</f>
        <v>Europe</v>
      </c>
      <c r="K24" s="16" t="str">
        <f>INDEX(Lookups!$D$3:$D$6,MATCH(Y24,Lookups!$A$3:$A$6,0))</f>
        <v>EUR</v>
      </c>
      <c r="L24" s="25">
        <v>900</v>
      </c>
      <c r="M24" s="19">
        <f>ROUND(L24*INDEX(Lookups!$G$3:$G$5,MATCH(K24,Lookups!$F$3:$F$5,0)),0)</f>
        <v>972</v>
      </c>
      <c r="N24" s="20">
        <v>260</v>
      </c>
      <c r="O24" s="21">
        <v>0</v>
      </c>
      <c r="P24" s="19">
        <f t="shared" si="1"/>
        <v>252720</v>
      </c>
      <c r="Q24" s="16" t="str">
        <f>ROUND(AA24*Lookups!$O$3,0)&amp;" - "&amp;ROUND(AB24*Lookups!$O$3,0)&amp;" km/h"</f>
        <v>32 - 56 km/h</v>
      </c>
      <c r="R24" s="22">
        <f>IF(ISNUMBER(SEARCH("meters",W24)),ROUND(VALUE(SUBSTITUTE(LEFT(W24,FIND(" ",W24)-1),",",""))/Lookups!$O$4,0),ROUND(VALUE(LEFT(W24,FIND(" ",W24)-1))*Lookups!$O$3,0))</f>
        <v>64</v>
      </c>
      <c r="S24" s="16" t="s">
        <v>138</v>
      </c>
      <c r="T24" s="16" t="s">
        <v>139</v>
      </c>
      <c r="U24" s="16" t="s">
        <v>92</v>
      </c>
      <c r="V24" s="16" t="s">
        <v>93</v>
      </c>
      <c r="W24" s="16" t="s">
        <v>94</v>
      </c>
      <c r="X24" s="16" t="s">
        <v>145</v>
      </c>
      <c r="Y24" s="16" t="s">
        <v>141</v>
      </c>
      <c r="Z24" s="16" t="s">
        <v>146</v>
      </c>
      <c r="AA24" s="16">
        <f>IF(U24="",INDEX(Lookups!$J$3:$J$5,MATCH(E24,Lookups!$I$3:$I$5,0)),VALUE(LEFT(U24,FIND(" ",U24)-1)))</f>
        <v>20</v>
      </c>
      <c r="AB24" s="16">
        <f t="shared" si="2"/>
        <v>35</v>
      </c>
    </row>
    <row r="25" spans="1:28" x14ac:dyDescent="0.3">
      <c r="A25" s="16">
        <v>24</v>
      </c>
      <c r="B25" s="16" t="str">
        <f t="shared" si="0"/>
        <v>Bernard, Théo</v>
      </c>
      <c r="C25" s="16" t="s">
        <v>22</v>
      </c>
      <c r="D25" s="16" t="str">
        <f>"Q"&amp;ROUNDUP(MATCH(C25,Lookups!$L$3:$L$14,0)/3,0)</f>
        <v>Q1</v>
      </c>
      <c r="E25" s="16" t="s">
        <v>43</v>
      </c>
      <c r="F25" s="16" t="s">
        <v>147</v>
      </c>
      <c r="G25" s="16" t="s">
        <v>136</v>
      </c>
      <c r="H25" s="17" t="s">
        <v>137</v>
      </c>
      <c r="I25" s="16" t="str">
        <f>INDEX(Lookups!$B$3:$B$6,MATCH(Y25,Lookups!$A$3:$A$6,0))</f>
        <v>France</v>
      </c>
      <c r="J25" s="16" t="str">
        <f>INDEX(Lookups!$C$3:$C$6,MATCH(Y25,Lookups!$A$3:$A$6,0))</f>
        <v>Europe</v>
      </c>
      <c r="K25" s="16" t="str">
        <f>INDEX(Lookups!$D$3:$D$6,MATCH(Y25,Lookups!$A$3:$A$6,0))</f>
        <v>EUR</v>
      </c>
      <c r="L25" s="25">
        <v>1050</v>
      </c>
      <c r="M25" s="19">
        <f>ROUND(L25*INDEX(Lookups!$G$3:$G$5,MATCH(K25,Lookups!$F$3:$F$5,0)),0)</f>
        <v>1134</v>
      </c>
      <c r="N25" s="20">
        <v>200</v>
      </c>
      <c r="O25" s="21">
        <v>0</v>
      </c>
      <c r="P25" s="19">
        <f t="shared" si="1"/>
        <v>226800</v>
      </c>
      <c r="Q25" s="16" t="str">
        <f>ROUND(AA25*Lookups!$O$3,0)&amp;" - "&amp;ROUND(AB25*Lookups!$O$3,0)&amp;" km/h"</f>
        <v>29 - 45 km/h</v>
      </c>
      <c r="R25" s="22">
        <f>IF(ISNUMBER(SEARCH("meters",W25)),ROUND(VALUE(SUBSTITUTE(LEFT(W25,FIND(" ",W25)-1),",",""))/Lookups!$O$4,0),ROUND(VALUE(LEFT(W25,FIND(" ",W25)-1))*Lookups!$O$3,0))</f>
        <v>40</v>
      </c>
      <c r="S25" s="16" t="s">
        <v>138</v>
      </c>
      <c r="T25" s="16" t="s">
        <v>139</v>
      </c>
      <c r="U25" s="16" t="s">
        <v>99</v>
      </c>
      <c r="V25" s="16" t="s">
        <v>100</v>
      </c>
      <c r="W25" s="16" t="s">
        <v>117</v>
      </c>
      <c r="X25" s="16" t="s">
        <v>148</v>
      </c>
      <c r="Y25" s="16" t="s">
        <v>141</v>
      </c>
      <c r="Z25" s="16" t="s">
        <v>149</v>
      </c>
      <c r="AA25" s="16">
        <f>IF(U25="",INDEX(Lookups!$J$3:$J$5,MATCH(E25,Lookups!$I$3:$I$5,0)),VALUE(LEFT(U25,FIND(" ",U25)-1)))</f>
        <v>18</v>
      </c>
      <c r="AB25" s="16">
        <f t="shared" si="2"/>
        <v>28</v>
      </c>
    </row>
    <row r="26" spans="1:28" x14ac:dyDescent="0.3">
      <c r="A26" s="16">
        <v>25</v>
      </c>
      <c r="B26" s="16" t="str">
        <f t="shared" si="0"/>
        <v>Joshi, Sanya</v>
      </c>
      <c r="C26" s="16" t="s">
        <v>23</v>
      </c>
      <c r="D26" s="16" t="str">
        <f>"Q"&amp;ROUNDUP(MATCH(C26,Lookups!$L$3:$L$14,0)/3,0)</f>
        <v>Q1</v>
      </c>
      <c r="E26" s="16" t="s">
        <v>41</v>
      </c>
      <c r="F26" s="16" t="s">
        <v>79</v>
      </c>
      <c r="G26" s="16" t="s">
        <v>80</v>
      </c>
      <c r="H26" s="17" t="s">
        <v>81</v>
      </c>
      <c r="I26" s="16" t="str">
        <f>INDEX(Lookups!$B$3:$B$6,MATCH(Y26,Lookups!$A$3:$A$6,0))</f>
        <v>India</v>
      </c>
      <c r="J26" s="16" t="str">
        <f>INDEX(Lookups!$C$3:$C$6,MATCH(Y26,Lookups!$A$3:$A$6,0))</f>
        <v>Asia</v>
      </c>
      <c r="K26" s="16" t="str">
        <f>INDEX(Lookups!$D$3:$D$6,MATCH(Y26,Lookups!$A$3:$A$6,0))</f>
        <v>INR</v>
      </c>
      <c r="L26" s="18">
        <v>30000</v>
      </c>
      <c r="M26" s="19">
        <f>ROUND(L26*INDEX(Lookups!$G$3:$G$5,MATCH(K26,Lookups!$F$3:$F$5,0)),0)</f>
        <v>360</v>
      </c>
      <c r="N26" s="20">
        <v>160</v>
      </c>
      <c r="O26" s="21">
        <v>0</v>
      </c>
      <c r="P26" s="19">
        <f t="shared" si="1"/>
        <v>57600</v>
      </c>
      <c r="Q26" s="16" t="str">
        <f>ROUND(AA26*Lookups!$O$3,0)&amp;" - "&amp;ROUND(AB26*Lookups!$O$3,0)&amp;" km/h"</f>
        <v>24 - 48 km/h</v>
      </c>
      <c r="R26" s="22">
        <f>IF(ISNUMBER(SEARCH("meters",W26)),ROUND(VALUE(SUBSTITUTE(LEFT(W26,FIND(" ",W26)-1),",",""))/Lookups!$O$4,0),ROUND(VALUE(LEFT(W26,FIND(" ",W26)-1))*Lookups!$O$3,0))</f>
        <v>48</v>
      </c>
      <c r="S26" s="16" t="s">
        <v>82</v>
      </c>
      <c r="T26" s="16" t="s">
        <v>83</v>
      </c>
      <c r="U26" s="16" t="s">
        <v>84</v>
      </c>
      <c r="V26" s="16" t="s">
        <v>85</v>
      </c>
      <c r="W26" s="16" t="s">
        <v>86</v>
      </c>
      <c r="X26" s="16" t="s">
        <v>87</v>
      </c>
      <c r="Y26" s="16" t="s">
        <v>88</v>
      </c>
      <c r="Z26" s="16" t="s">
        <v>89</v>
      </c>
      <c r="AA26" s="16">
        <f>IF(U26="",INDEX(Lookups!$J$3:$J$5,MATCH(E26,Lookups!$I$3:$I$5,0)),VALUE(LEFT(U26,FIND(" ",U26)-1)))</f>
        <v>15</v>
      </c>
      <c r="AB26" s="16">
        <f t="shared" si="2"/>
        <v>30</v>
      </c>
    </row>
    <row r="27" spans="1:28" x14ac:dyDescent="0.3">
      <c r="A27" s="16">
        <v>26</v>
      </c>
      <c r="B27" s="16" t="str">
        <f t="shared" si="0"/>
        <v>Joshi, Sanya</v>
      </c>
      <c r="C27" s="16" t="s">
        <v>23</v>
      </c>
      <c r="D27" s="16" t="str">
        <f>"Q"&amp;ROUNDUP(MATCH(C27,Lookups!$L$3:$L$14,0)/3,0)</f>
        <v>Q1</v>
      </c>
      <c r="E27" s="16" t="s">
        <v>42</v>
      </c>
      <c r="F27" s="16" t="s">
        <v>91</v>
      </c>
      <c r="G27" s="16" t="s">
        <v>80</v>
      </c>
      <c r="H27" s="17" t="s">
        <v>81</v>
      </c>
      <c r="I27" s="16" t="str">
        <f>INDEX(Lookups!$B$3:$B$6,MATCH(Y27,Lookups!$A$3:$A$6,0))</f>
        <v>India</v>
      </c>
      <c r="J27" s="16" t="str">
        <f>INDEX(Lookups!$C$3:$C$6,MATCH(Y27,Lookups!$A$3:$A$6,0))</f>
        <v>Asia</v>
      </c>
      <c r="K27" s="16" t="str">
        <f>INDEX(Lookups!$D$3:$D$6,MATCH(Y27,Lookups!$A$3:$A$6,0))</f>
        <v>INR</v>
      </c>
      <c r="L27" s="18">
        <v>25000</v>
      </c>
      <c r="M27" s="19">
        <f>ROUND(L27*INDEX(Lookups!$G$3:$G$5,MATCH(K27,Lookups!$F$3:$F$5,0)),0)</f>
        <v>300</v>
      </c>
      <c r="N27" s="20">
        <v>350</v>
      </c>
      <c r="O27" s="21">
        <v>0</v>
      </c>
      <c r="P27" s="19">
        <f t="shared" si="1"/>
        <v>105000</v>
      </c>
      <c r="Q27" s="16" t="str">
        <f>ROUND(AA27*Lookups!$O$3,0)&amp;" - "&amp;ROUND(AB27*Lookups!$O$3,0)&amp;" km/h"</f>
        <v>32 - 56 km/h</v>
      </c>
      <c r="R27" s="22">
        <f>IF(ISNUMBER(SEARCH("meters",W27)),ROUND(VALUE(SUBSTITUTE(LEFT(W27,FIND(" ",W27)-1),",",""))/Lookups!$O$4,0),ROUND(VALUE(LEFT(W27,FIND(" ",W27)-1))*Lookups!$O$3,0))</f>
        <v>64</v>
      </c>
      <c r="S27" s="16" t="s">
        <v>82</v>
      </c>
      <c r="T27" s="16" t="s">
        <v>83</v>
      </c>
      <c r="U27" s="16"/>
      <c r="V27" s="16" t="s">
        <v>93</v>
      </c>
      <c r="W27" s="16" t="s">
        <v>94</v>
      </c>
      <c r="X27" s="16" t="s">
        <v>95</v>
      </c>
      <c r="Y27" s="16" t="s">
        <v>88</v>
      </c>
      <c r="Z27" s="16" t="s">
        <v>96</v>
      </c>
      <c r="AA27" s="16">
        <f>IF(U27="",INDEX(Lookups!$J$3:$J$5,MATCH(E27,Lookups!$I$3:$I$5,0)),VALUE(LEFT(U27,FIND(" ",U27)-1)))</f>
        <v>20</v>
      </c>
      <c r="AB27" s="16">
        <f t="shared" si="2"/>
        <v>35</v>
      </c>
    </row>
    <row r="28" spans="1:28" x14ac:dyDescent="0.3">
      <c r="A28" s="16">
        <v>27</v>
      </c>
      <c r="B28" s="16" t="str">
        <f t="shared" si="0"/>
        <v>Joshi, Sanya</v>
      </c>
      <c r="C28" s="16" t="s">
        <v>23</v>
      </c>
      <c r="D28" s="16" t="str">
        <f>"Q"&amp;ROUNDUP(MATCH(C28,Lookups!$L$3:$L$14,0)/3,0)</f>
        <v>Q1</v>
      </c>
      <c r="E28" s="16" t="s">
        <v>43</v>
      </c>
      <c r="F28" s="16" t="s">
        <v>98</v>
      </c>
      <c r="G28" s="16" t="s">
        <v>80</v>
      </c>
      <c r="H28" s="17" t="s">
        <v>81</v>
      </c>
      <c r="I28" s="16" t="str">
        <f>INDEX(Lookups!$B$3:$B$6,MATCH(Y28,Lookups!$A$3:$A$6,0))</f>
        <v>India</v>
      </c>
      <c r="J28" s="16" t="str">
        <f>INDEX(Lookups!$C$3:$C$6,MATCH(Y28,Lookups!$A$3:$A$6,0))</f>
        <v>Asia</v>
      </c>
      <c r="K28" s="16" t="str">
        <f>INDEX(Lookups!$D$3:$D$6,MATCH(Y28,Lookups!$A$3:$A$6,0))</f>
        <v>INR</v>
      </c>
      <c r="L28" s="18">
        <v>22000</v>
      </c>
      <c r="M28" s="19">
        <f>ROUND(L28*INDEX(Lookups!$G$3:$G$5,MATCH(K28,Lookups!$F$3:$F$5,0)),0)</f>
        <v>264</v>
      </c>
      <c r="N28" s="20">
        <v>220</v>
      </c>
      <c r="O28" s="21">
        <v>0</v>
      </c>
      <c r="P28" s="19">
        <f t="shared" si="1"/>
        <v>58080</v>
      </c>
      <c r="Q28" s="16" t="str">
        <f>ROUND(AA28*Lookups!$O$3,0)&amp;" - "&amp;ROUND(AB28*Lookups!$O$3,0)&amp;" km/h"</f>
        <v>29 - 45 km/h</v>
      </c>
      <c r="R28" s="22">
        <f>IF(ISNUMBER(SEARCH("meters",W28)),ROUND(VALUE(SUBSTITUTE(LEFT(W28,FIND(" ",W28)-1),",",""))/Lookups!$O$4,0),ROUND(VALUE(LEFT(W28,FIND(" ",W28)-1))*Lookups!$O$3,0))</f>
        <v>40</v>
      </c>
      <c r="S28" s="16" t="s">
        <v>82</v>
      </c>
      <c r="T28" s="16" t="s">
        <v>83</v>
      </c>
      <c r="U28" s="16" t="s">
        <v>99</v>
      </c>
      <c r="V28" s="16" t="s">
        <v>100</v>
      </c>
      <c r="W28" s="16" t="s">
        <v>101</v>
      </c>
      <c r="X28" s="16" t="s">
        <v>102</v>
      </c>
      <c r="Y28" s="16" t="s">
        <v>88</v>
      </c>
      <c r="Z28" s="16" t="s">
        <v>103</v>
      </c>
      <c r="AA28" s="16">
        <f>IF(U28="",INDEX(Lookups!$J$3:$J$5,MATCH(E28,Lookups!$I$3:$I$5,0)),VALUE(LEFT(U28,FIND(" ",U28)-1)))</f>
        <v>18</v>
      </c>
      <c r="AB28" s="16">
        <f t="shared" si="2"/>
        <v>28</v>
      </c>
    </row>
    <row r="29" spans="1:28" x14ac:dyDescent="0.3">
      <c r="A29" s="16">
        <v>28</v>
      </c>
      <c r="B29" s="16" t="str">
        <f t="shared" si="0"/>
        <v>Liu, Fang</v>
      </c>
      <c r="C29" s="16" t="s">
        <v>23</v>
      </c>
      <c r="D29" s="16" t="str">
        <f>"Q"&amp;ROUNDUP(MATCH(C29,Lookups!$L$3:$L$14,0)/3,0)</f>
        <v>Q1</v>
      </c>
      <c r="E29" s="16" t="s">
        <v>41</v>
      </c>
      <c r="F29" s="16" t="s">
        <v>105</v>
      </c>
      <c r="G29" s="16" t="s">
        <v>106</v>
      </c>
      <c r="H29" s="17" t="s">
        <v>107</v>
      </c>
      <c r="I29" s="16" t="str">
        <f>INDEX(Lookups!$B$3:$B$6,MATCH(Y29,Lookups!$A$3:$A$6,0))</f>
        <v>China</v>
      </c>
      <c r="J29" s="16" t="str">
        <f>INDEX(Lookups!$C$3:$C$6,MATCH(Y29,Lookups!$A$3:$A$6,0))</f>
        <v>Asia</v>
      </c>
      <c r="K29" s="16" t="str">
        <f>INDEX(Lookups!$D$3:$D$6,MATCH(Y29,Lookups!$A$3:$A$6,0))</f>
        <v>CNY</v>
      </c>
      <c r="L29" s="24">
        <v>5000</v>
      </c>
      <c r="M29" s="19">
        <f>ROUND(L29*INDEX(Lookups!$G$3:$G$5,MATCH(K29,Lookups!$F$3:$F$5,0)),0)</f>
        <v>700</v>
      </c>
      <c r="N29" s="20">
        <v>550</v>
      </c>
      <c r="O29" s="21">
        <v>0</v>
      </c>
      <c r="P29" s="19">
        <f t="shared" si="1"/>
        <v>385000</v>
      </c>
      <c r="Q29" s="16" t="str">
        <f>ROUND(AA29*Lookups!$O$3,0)&amp;" - "&amp;ROUND(AB29*Lookups!$O$3,0)&amp;" km/h"</f>
        <v>24 - 48 km/h</v>
      </c>
      <c r="R29" s="22">
        <f>IF(ISNUMBER(SEARCH("meters",W29)),ROUND(VALUE(SUBSTITUTE(LEFT(W29,FIND(" ",W29)-1),",",""))/Lookups!$O$4,0),ROUND(VALUE(LEFT(W29,FIND(" ",W29)-1))*Lookups!$O$3,0))</f>
        <v>48</v>
      </c>
      <c r="S29" s="16" t="s">
        <v>108</v>
      </c>
      <c r="T29" s="16" t="s">
        <v>109</v>
      </c>
      <c r="U29" s="16" t="s">
        <v>84</v>
      </c>
      <c r="V29" s="16" t="s">
        <v>85</v>
      </c>
      <c r="W29" s="16" t="s">
        <v>86</v>
      </c>
      <c r="X29" s="16" t="s">
        <v>110</v>
      </c>
      <c r="Y29" s="16" t="s">
        <v>111</v>
      </c>
      <c r="Z29" s="16" t="s">
        <v>112</v>
      </c>
      <c r="AA29" s="16">
        <f>IF(U29="",INDEX(Lookups!$J$3:$J$5,MATCH(E29,Lookups!$I$3:$I$5,0)),VALUE(LEFT(U29,FIND(" ",U29)-1)))</f>
        <v>15</v>
      </c>
      <c r="AB29" s="16">
        <f t="shared" si="2"/>
        <v>30</v>
      </c>
    </row>
    <row r="30" spans="1:28" x14ac:dyDescent="0.3">
      <c r="A30" s="16">
        <v>29</v>
      </c>
      <c r="B30" s="16" t="str">
        <f t="shared" si="0"/>
        <v>Liu, Fang</v>
      </c>
      <c r="C30" s="16" t="s">
        <v>23</v>
      </c>
      <c r="D30" s="16" t="str">
        <f>"Q"&amp;ROUNDUP(MATCH(C30,Lookups!$L$3:$L$14,0)/3,0)</f>
        <v>Q1</v>
      </c>
      <c r="E30" s="16" t="s">
        <v>42</v>
      </c>
      <c r="F30" s="16" t="s">
        <v>113</v>
      </c>
      <c r="G30" s="16" t="s">
        <v>106</v>
      </c>
      <c r="H30" s="17" t="s">
        <v>107</v>
      </c>
      <c r="I30" s="16" t="str">
        <f>INDEX(Lookups!$B$3:$B$6,MATCH(Y30,Lookups!$A$3:$A$6,0))</f>
        <v>China</v>
      </c>
      <c r="J30" s="16" t="str">
        <f>INDEX(Lookups!$C$3:$C$6,MATCH(Y30,Lookups!$A$3:$A$6,0))</f>
        <v>Asia</v>
      </c>
      <c r="K30" s="16" t="str">
        <f>INDEX(Lookups!$D$3:$D$6,MATCH(Y30,Lookups!$A$3:$A$6,0))</f>
        <v>CNY</v>
      </c>
      <c r="L30" s="24">
        <v>3500</v>
      </c>
      <c r="M30" s="19">
        <f>ROUND(L30*INDEX(Lookups!$G$3:$G$5,MATCH(K30,Lookups!$F$3:$F$5,0)),0)</f>
        <v>490</v>
      </c>
      <c r="N30" s="20">
        <v>1200</v>
      </c>
      <c r="O30" s="21">
        <v>0</v>
      </c>
      <c r="P30" s="19">
        <f t="shared" si="1"/>
        <v>588000</v>
      </c>
      <c r="Q30" s="16" t="str">
        <f>ROUND(AA30*Lookups!$O$3,0)&amp;" - "&amp;ROUND(AB30*Lookups!$O$3,0)&amp;" km/h"</f>
        <v>32 - 56 km/h</v>
      </c>
      <c r="R30" s="22">
        <f>IF(ISNUMBER(SEARCH("meters",W30)),ROUND(VALUE(SUBSTITUTE(LEFT(W30,FIND(" ",W30)-1),",",""))/Lookups!$O$4,0),ROUND(VALUE(LEFT(W30,FIND(" ",W30)-1))*Lookups!$O$3,0))</f>
        <v>64</v>
      </c>
      <c r="S30" s="16" t="s">
        <v>108</v>
      </c>
      <c r="T30" s="16" t="s">
        <v>109</v>
      </c>
      <c r="U30" s="16" t="s">
        <v>92</v>
      </c>
      <c r="V30" s="16" t="s">
        <v>93</v>
      </c>
      <c r="W30" s="16" t="s">
        <v>144</v>
      </c>
      <c r="X30" s="16" t="s">
        <v>114</v>
      </c>
      <c r="Y30" s="16" t="s">
        <v>111</v>
      </c>
      <c r="Z30" s="16" t="s">
        <v>115</v>
      </c>
      <c r="AA30" s="16">
        <f>IF(U30="",INDEX(Lookups!$J$3:$J$5,MATCH(E30,Lookups!$I$3:$I$5,0)),VALUE(LEFT(U30,FIND(" ",U30)-1)))</f>
        <v>20</v>
      </c>
      <c r="AB30" s="16">
        <f t="shared" si="2"/>
        <v>35</v>
      </c>
    </row>
    <row r="31" spans="1:28" x14ac:dyDescent="0.3">
      <c r="A31" s="16">
        <v>30</v>
      </c>
      <c r="B31" s="16" t="str">
        <f t="shared" si="0"/>
        <v>Liu, Fang</v>
      </c>
      <c r="C31" s="16" t="s">
        <v>23</v>
      </c>
      <c r="D31" s="16" t="str">
        <f>"Q"&amp;ROUNDUP(MATCH(C31,Lookups!$L$3:$L$14,0)/3,0)</f>
        <v>Q1</v>
      </c>
      <c r="E31" s="16" t="s">
        <v>43</v>
      </c>
      <c r="F31" s="16" t="s">
        <v>116</v>
      </c>
      <c r="G31" s="16" t="s">
        <v>106</v>
      </c>
      <c r="H31" s="17" t="s">
        <v>107</v>
      </c>
      <c r="I31" s="16" t="str">
        <f>INDEX(Lookups!$B$3:$B$6,MATCH(Y31,Lookups!$A$3:$A$6,0))</f>
        <v>China</v>
      </c>
      <c r="J31" s="16" t="str">
        <f>INDEX(Lookups!$C$3:$C$6,MATCH(Y31,Lookups!$A$3:$A$6,0))</f>
        <v>Asia</v>
      </c>
      <c r="K31" s="16" t="str">
        <f>INDEX(Lookups!$D$3:$D$6,MATCH(Y31,Lookups!$A$3:$A$6,0))</f>
        <v>CNY</v>
      </c>
      <c r="L31" s="24">
        <v>4200</v>
      </c>
      <c r="M31" s="19">
        <f>ROUND(L31*INDEX(Lookups!$G$3:$G$5,MATCH(K31,Lookups!$F$3:$F$5,0)),0)</f>
        <v>588</v>
      </c>
      <c r="N31" s="20">
        <v>850</v>
      </c>
      <c r="O31" s="21">
        <v>0</v>
      </c>
      <c r="P31" s="19">
        <f t="shared" si="1"/>
        <v>499800</v>
      </c>
      <c r="Q31" s="16" t="str">
        <f>ROUND(AA31*Lookups!$O$3,0)&amp;" - "&amp;ROUND(AB31*Lookups!$O$3,0)&amp;" km/h"</f>
        <v>29 - 45 km/h</v>
      </c>
      <c r="R31" s="22">
        <f>IF(ISNUMBER(SEARCH("meters",W31)),ROUND(VALUE(SUBSTITUTE(LEFT(W31,FIND(" ",W31)-1),",",""))/Lookups!$O$4,0),ROUND(VALUE(LEFT(W31,FIND(" ",W31)-1))*Lookups!$O$3,0))</f>
        <v>40</v>
      </c>
      <c r="S31" s="16" t="s">
        <v>108</v>
      </c>
      <c r="T31" s="16" t="s">
        <v>109</v>
      </c>
      <c r="U31" s="16" t="s">
        <v>99</v>
      </c>
      <c r="V31" s="16" t="s">
        <v>100</v>
      </c>
      <c r="W31" s="16" t="s">
        <v>101</v>
      </c>
      <c r="X31" s="16" t="s">
        <v>118</v>
      </c>
      <c r="Y31" s="16" t="s">
        <v>111</v>
      </c>
      <c r="Z31" s="16" t="s">
        <v>119</v>
      </c>
      <c r="AA31" s="16">
        <f>IF(U31="",INDEX(Lookups!$J$3:$J$5,MATCH(E31,Lookups!$I$3:$I$5,0)),VALUE(LEFT(U31,FIND(" ",U31)-1)))</f>
        <v>18</v>
      </c>
      <c r="AB31" s="16">
        <f t="shared" si="2"/>
        <v>28</v>
      </c>
    </row>
    <row r="32" spans="1:28" x14ac:dyDescent="0.3">
      <c r="A32" s="16">
        <v>31</v>
      </c>
      <c r="B32" s="16" t="str">
        <f t="shared" si="0"/>
        <v>Fischer, Jonas</v>
      </c>
      <c r="C32" s="16" t="s">
        <v>23</v>
      </c>
      <c r="D32" s="16" t="str">
        <f>"Q"&amp;ROUNDUP(MATCH(C32,Lookups!$L$3:$L$14,0)/3,0)</f>
        <v>Q1</v>
      </c>
      <c r="E32" s="16" t="s">
        <v>41</v>
      </c>
      <c r="F32" s="16" t="s">
        <v>120</v>
      </c>
      <c r="G32" s="16" t="s">
        <v>121</v>
      </c>
      <c r="H32" s="17" t="s">
        <v>122</v>
      </c>
      <c r="I32" s="16" t="str">
        <f>INDEX(Lookups!$B$3:$B$6,MATCH(Y32,Lookups!$A$3:$A$6,0))</f>
        <v>Germany</v>
      </c>
      <c r="J32" s="16" t="str">
        <f>INDEX(Lookups!$C$3:$C$6,MATCH(Y32,Lookups!$A$3:$A$6,0))</f>
        <v>Europe</v>
      </c>
      <c r="K32" s="16" t="str">
        <f>INDEX(Lookups!$D$3:$D$6,MATCH(Y32,Lookups!$A$3:$A$6,0))</f>
        <v>EUR</v>
      </c>
      <c r="L32" s="25">
        <v>1000</v>
      </c>
      <c r="M32" s="19">
        <f>ROUND(L32*INDEX(Lookups!$G$3:$G$5,MATCH(K32,Lookups!$F$3:$F$5,0)),0)</f>
        <v>1080</v>
      </c>
      <c r="N32" s="20">
        <v>130</v>
      </c>
      <c r="O32" s="21">
        <v>0</v>
      </c>
      <c r="P32" s="19">
        <f t="shared" si="1"/>
        <v>140400</v>
      </c>
      <c r="Q32" s="16" t="str">
        <f>ROUND(AA32*Lookups!$O$3,0)&amp;" - "&amp;ROUND(AB32*Lookups!$O$3,0)&amp;" km/h"</f>
        <v>24 - 48 km/h</v>
      </c>
      <c r="R32" s="22">
        <f>IF(ISNUMBER(SEARCH("meters",W32)),ROUND(VALUE(SUBSTITUTE(LEFT(W32,FIND(" ",W32)-1),",",""))/Lookups!$O$4,0),ROUND(VALUE(LEFT(W32,FIND(" ",W32)-1))*Lookups!$O$3,0))</f>
        <v>48</v>
      </c>
      <c r="S32" s="16" t="s">
        <v>123</v>
      </c>
      <c r="T32" s="16" t="s">
        <v>124</v>
      </c>
      <c r="U32" s="16" t="s">
        <v>84</v>
      </c>
      <c r="V32" s="16" t="s">
        <v>85</v>
      </c>
      <c r="W32" s="16" t="s">
        <v>86</v>
      </c>
      <c r="X32" s="16" t="s">
        <v>126</v>
      </c>
      <c r="Y32" s="16" t="s">
        <v>127</v>
      </c>
      <c r="Z32" s="16" t="s">
        <v>128</v>
      </c>
      <c r="AA32" s="16">
        <f>IF(U32="",INDEX(Lookups!$J$3:$J$5,MATCH(E32,Lookups!$I$3:$I$5,0)),VALUE(LEFT(U32,FIND(" ",U32)-1)))</f>
        <v>15</v>
      </c>
      <c r="AB32" s="16">
        <f t="shared" si="2"/>
        <v>30</v>
      </c>
    </row>
    <row r="33" spans="1:28" x14ac:dyDescent="0.3">
      <c r="A33" s="16">
        <v>32</v>
      </c>
      <c r="B33" s="16" t="str">
        <f t="shared" si="0"/>
        <v>Fischer, Jonas</v>
      </c>
      <c r="C33" s="16" t="s">
        <v>23</v>
      </c>
      <c r="D33" s="16" t="str">
        <f>"Q"&amp;ROUNDUP(MATCH(C33,Lookups!$L$3:$L$14,0)/3,0)</f>
        <v>Q1</v>
      </c>
      <c r="E33" s="16" t="s">
        <v>42</v>
      </c>
      <c r="F33" s="16" t="s">
        <v>129</v>
      </c>
      <c r="G33" s="16" t="s">
        <v>121</v>
      </c>
      <c r="H33" s="17" t="s">
        <v>122</v>
      </c>
      <c r="I33" s="16" t="str">
        <f>INDEX(Lookups!$B$3:$B$6,MATCH(Y33,Lookups!$A$3:$A$6,0))</f>
        <v>Germany</v>
      </c>
      <c r="J33" s="16" t="str">
        <f>INDEX(Lookups!$C$3:$C$6,MATCH(Y33,Lookups!$A$3:$A$6,0))</f>
        <v>Europe</v>
      </c>
      <c r="K33" s="16" t="str">
        <f>INDEX(Lookups!$D$3:$D$6,MATCH(Y33,Lookups!$A$3:$A$6,0))</f>
        <v>EUR</v>
      </c>
      <c r="L33" s="25">
        <v>800</v>
      </c>
      <c r="M33" s="19">
        <f>ROUND(L33*INDEX(Lookups!$G$3:$G$5,MATCH(K33,Lookups!$F$3:$F$5,0)),0)</f>
        <v>864</v>
      </c>
      <c r="N33" s="20">
        <v>220</v>
      </c>
      <c r="O33" s="21">
        <v>0</v>
      </c>
      <c r="P33" s="19">
        <f t="shared" si="1"/>
        <v>190080</v>
      </c>
      <c r="Q33" s="16" t="str">
        <f>ROUND(AA33*Lookups!$O$3,0)&amp;" - "&amp;ROUND(AB33*Lookups!$O$3,0)&amp;" km/h"</f>
        <v>32 - 56 km/h</v>
      </c>
      <c r="R33" s="22">
        <f>IF(ISNUMBER(SEARCH("meters",W33)),ROUND(VALUE(SUBSTITUTE(LEFT(W33,FIND(" ",W33)-1),",",""))/Lookups!$O$4,0),ROUND(VALUE(LEFT(W33,FIND(" ",W33)-1))*Lookups!$O$3,0))</f>
        <v>64</v>
      </c>
      <c r="S33" s="16" t="s">
        <v>123</v>
      </c>
      <c r="T33" s="16" t="s">
        <v>124</v>
      </c>
      <c r="U33" s="16" t="s">
        <v>92</v>
      </c>
      <c r="V33" s="16" t="s">
        <v>93</v>
      </c>
      <c r="W33" s="16" t="s">
        <v>94</v>
      </c>
      <c r="X33" s="16" t="s">
        <v>130</v>
      </c>
      <c r="Y33" s="16" t="s">
        <v>127</v>
      </c>
      <c r="Z33" s="16" t="s">
        <v>131</v>
      </c>
      <c r="AA33" s="16">
        <f>IF(U33="",INDEX(Lookups!$J$3:$J$5,MATCH(E33,Lookups!$I$3:$I$5,0)),VALUE(LEFT(U33,FIND(" ",U33)-1)))</f>
        <v>20</v>
      </c>
      <c r="AB33" s="16">
        <f t="shared" si="2"/>
        <v>35</v>
      </c>
    </row>
    <row r="34" spans="1:28" x14ac:dyDescent="0.3">
      <c r="A34" s="16">
        <v>33</v>
      </c>
      <c r="B34" s="16" t="str">
        <f t="shared" ref="B34:B65" si="3">T34&amp;", "&amp;S34</f>
        <v>Fischer, Jonas</v>
      </c>
      <c r="C34" s="16" t="s">
        <v>23</v>
      </c>
      <c r="D34" s="16" t="str">
        <f>"Q"&amp;ROUNDUP(MATCH(C34,Lookups!$L$3:$L$14,0)/3,0)</f>
        <v>Q1</v>
      </c>
      <c r="E34" s="16" t="s">
        <v>43</v>
      </c>
      <c r="F34" s="16" t="s">
        <v>132</v>
      </c>
      <c r="G34" s="16" t="s">
        <v>121</v>
      </c>
      <c r="H34" s="17" t="s">
        <v>122</v>
      </c>
      <c r="I34" s="16" t="str">
        <f>INDEX(Lookups!$B$3:$B$6,MATCH(Y34,Lookups!$A$3:$A$6,0))</f>
        <v>Germany</v>
      </c>
      <c r="J34" s="16" t="str">
        <f>INDEX(Lookups!$C$3:$C$6,MATCH(Y34,Lookups!$A$3:$A$6,0))</f>
        <v>Europe</v>
      </c>
      <c r="K34" s="16" t="str">
        <f>INDEX(Lookups!$D$3:$D$6,MATCH(Y34,Lookups!$A$3:$A$6,0))</f>
        <v>EUR</v>
      </c>
      <c r="L34" s="25">
        <v>950</v>
      </c>
      <c r="M34" s="19">
        <f>ROUND(L34*INDEX(Lookups!$G$3:$G$5,MATCH(K34,Lookups!$F$3:$F$5,0)),0)</f>
        <v>1026</v>
      </c>
      <c r="N34" s="20">
        <v>160</v>
      </c>
      <c r="O34" s="21">
        <v>0</v>
      </c>
      <c r="P34" s="19">
        <f t="shared" ref="P34:P65" si="4">ROUND(N34*M34*(1-O34/100),0)</f>
        <v>164160</v>
      </c>
      <c r="Q34" s="16" t="str">
        <f>ROUND(AA34*Lookups!$O$3,0)&amp;" - "&amp;ROUND(AB34*Lookups!$O$3,0)&amp;" km/h"</f>
        <v>29 - 45 km/h</v>
      </c>
      <c r="R34" s="22">
        <f>IF(ISNUMBER(SEARCH("meters",W34)),ROUND(VALUE(SUBSTITUTE(LEFT(W34,FIND(" ",W34)-1),",",""))/Lookups!$O$4,0),ROUND(VALUE(LEFT(W34,FIND(" ",W34)-1))*Lookups!$O$3,0))</f>
        <v>40</v>
      </c>
      <c r="S34" s="16" t="s">
        <v>123</v>
      </c>
      <c r="T34" s="16" t="s">
        <v>124</v>
      </c>
      <c r="U34" s="16" t="s">
        <v>99</v>
      </c>
      <c r="V34" s="16" t="s">
        <v>100</v>
      </c>
      <c r="W34" s="16" t="s">
        <v>101</v>
      </c>
      <c r="X34" s="16" t="s">
        <v>133</v>
      </c>
      <c r="Y34" s="16" t="s">
        <v>127</v>
      </c>
      <c r="Z34" s="16" t="s">
        <v>134</v>
      </c>
      <c r="AA34" s="16">
        <f>IF(U34="",INDEX(Lookups!$J$3:$J$5,MATCH(E34,Lookups!$I$3:$I$5,0)),VALUE(LEFT(U34,FIND(" ",U34)-1)))</f>
        <v>18</v>
      </c>
      <c r="AB34" s="16">
        <f t="shared" ref="AB34:AB65" si="5">VALUE(LEFT(V34,FIND(" ",V34)-1))</f>
        <v>28</v>
      </c>
    </row>
    <row r="35" spans="1:28" x14ac:dyDescent="0.3">
      <c r="A35" s="16">
        <v>34</v>
      </c>
      <c r="B35" s="16" t="str">
        <f t="shared" si="3"/>
        <v>Bernard, Théo</v>
      </c>
      <c r="C35" s="16" t="s">
        <v>23</v>
      </c>
      <c r="D35" s="16" t="str">
        <f>"Q"&amp;ROUNDUP(MATCH(C35,Lookups!$L$3:$L$14,0)/3,0)</f>
        <v>Q1</v>
      </c>
      <c r="E35" s="16" t="s">
        <v>41</v>
      </c>
      <c r="F35" s="16" t="s">
        <v>135</v>
      </c>
      <c r="G35" s="16" t="s">
        <v>136</v>
      </c>
      <c r="H35" s="17" t="s">
        <v>137</v>
      </c>
      <c r="I35" s="16" t="str">
        <f>INDEX(Lookups!$B$3:$B$6,MATCH(Y35,Lookups!$A$3:$A$6,0))</f>
        <v>France</v>
      </c>
      <c r="J35" s="16" t="str">
        <f>INDEX(Lookups!$C$3:$C$6,MATCH(Y35,Lookups!$A$3:$A$6,0))</f>
        <v>Europe</v>
      </c>
      <c r="K35" s="16" t="str">
        <f>INDEX(Lookups!$D$3:$D$6,MATCH(Y35,Lookups!$A$3:$A$6,0))</f>
        <v>EUR</v>
      </c>
      <c r="L35" s="25">
        <v>1100</v>
      </c>
      <c r="M35" s="19">
        <f>ROUND(L35*INDEX(Lookups!$G$3:$G$5,MATCH(K35,Lookups!$F$3:$F$5,0)),0)</f>
        <v>1188</v>
      </c>
      <c r="N35" s="20">
        <v>110</v>
      </c>
      <c r="O35" s="21">
        <v>0</v>
      </c>
      <c r="P35" s="19">
        <f t="shared" si="4"/>
        <v>130680</v>
      </c>
      <c r="Q35" s="16" t="str">
        <f>ROUND(AA35*Lookups!$O$3,0)&amp;" - "&amp;ROUND(AB35*Lookups!$O$3,0)&amp;" km/h"</f>
        <v>24 - 48 km/h</v>
      </c>
      <c r="R35" s="22">
        <f>IF(ISNUMBER(SEARCH("meters",W35)),ROUND(VALUE(SUBSTITUTE(LEFT(W35,FIND(" ",W35)-1),",",""))/Lookups!$O$4,0),ROUND(VALUE(LEFT(W35,FIND(" ",W35)-1))*Lookups!$O$3,0))</f>
        <v>48</v>
      </c>
      <c r="S35" s="16" t="s">
        <v>138</v>
      </c>
      <c r="T35" s="16" t="s">
        <v>139</v>
      </c>
      <c r="U35" s="16" t="s">
        <v>84</v>
      </c>
      <c r="V35" s="16" t="s">
        <v>85</v>
      </c>
      <c r="W35" s="16" t="s">
        <v>125</v>
      </c>
      <c r="X35" s="16" t="s">
        <v>140</v>
      </c>
      <c r="Y35" s="16" t="s">
        <v>141</v>
      </c>
      <c r="Z35" s="16" t="s">
        <v>142</v>
      </c>
      <c r="AA35" s="16">
        <f>IF(U35="",INDEX(Lookups!$J$3:$J$5,MATCH(E35,Lookups!$I$3:$I$5,0)),VALUE(LEFT(U35,FIND(" ",U35)-1)))</f>
        <v>15</v>
      </c>
      <c r="AB35" s="16">
        <f t="shared" si="5"/>
        <v>30</v>
      </c>
    </row>
    <row r="36" spans="1:28" x14ac:dyDescent="0.3">
      <c r="A36" s="16">
        <v>35</v>
      </c>
      <c r="B36" s="16" t="str">
        <f t="shared" si="3"/>
        <v>Bernard, Théo</v>
      </c>
      <c r="C36" s="16" t="s">
        <v>23</v>
      </c>
      <c r="D36" s="16" t="str">
        <f>"Q"&amp;ROUNDUP(MATCH(C36,Lookups!$L$3:$L$14,0)/3,0)</f>
        <v>Q1</v>
      </c>
      <c r="E36" s="16" t="s">
        <v>42</v>
      </c>
      <c r="F36" s="16" t="s">
        <v>143</v>
      </c>
      <c r="G36" s="16" t="s">
        <v>136</v>
      </c>
      <c r="H36" s="17" t="s">
        <v>137</v>
      </c>
      <c r="I36" s="16" t="str">
        <f>INDEX(Lookups!$B$3:$B$6,MATCH(Y36,Lookups!$A$3:$A$6,0))</f>
        <v>France</v>
      </c>
      <c r="J36" s="16" t="str">
        <f>INDEX(Lookups!$C$3:$C$6,MATCH(Y36,Lookups!$A$3:$A$6,0))</f>
        <v>Europe</v>
      </c>
      <c r="K36" s="16" t="str">
        <f>INDEX(Lookups!$D$3:$D$6,MATCH(Y36,Lookups!$A$3:$A$6,0))</f>
        <v>EUR</v>
      </c>
      <c r="L36" s="25">
        <v>900</v>
      </c>
      <c r="M36" s="19">
        <f>ROUND(L36*INDEX(Lookups!$G$3:$G$5,MATCH(K36,Lookups!$F$3:$F$5,0)),0)</f>
        <v>972</v>
      </c>
      <c r="N36" s="20">
        <v>260</v>
      </c>
      <c r="O36" s="21">
        <v>0</v>
      </c>
      <c r="P36" s="19">
        <f t="shared" si="4"/>
        <v>252720</v>
      </c>
      <c r="Q36" s="16" t="str">
        <f>ROUND(AA36*Lookups!$O$3,0)&amp;" - "&amp;ROUND(AB36*Lookups!$O$3,0)&amp;" km/h"</f>
        <v>32 - 56 km/h</v>
      </c>
      <c r="R36" s="22">
        <f>IF(ISNUMBER(SEARCH("meters",W36)),ROUND(VALUE(SUBSTITUTE(LEFT(W36,FIND(" ",W36)-1),",",""))/Lookups!$O$4,0),ROUND(VALUE(LEFT(W36,FIND(" ",W36)-1))*Lookups!$O$3,0))</f>
        <v>64</v>
      </c>
      <c r="S36" s="16" t="s">
        <v>138</v>
      </c>
      <c r="T36" s="16" t="s">
        <v>139</v>
      </c>
      <c r="U36" s="16" t="s">
        <v>92</v>
      </c>
      <c r="V36" s="16" t="s">
        <v>93</v>
      </c>
      <c r="W36" s="16" t="s">
        <v>94</v>
      </c>
      <c r="X36" s="16" t="s">
        <v>145</v>
      </c>
      <c r="Y36" s="16" t="s">
        <v>141</v>
      </c>
      <c r="Z36" s="16" t="s">
        <v>146</v>
      </c>
      <c r="AA36" s="16">
        <f>IF(U36="",INDEX(Lookups!$J$3:$J$5,MATCH(E36,Lookups!$I$3:$I$5,0)),VALUE(LEFT(U36,FIND(" ",U36)-1)))</f>
        <v>20</v>
      </c>
      <c r="AB36" s="16">
        <f t="shared" si="5"/>
        <v>35</v>
      </c>
    </row>
    <row r="37" spans="1:28" x14ac:dyDescent="0.3">
      <c r="A37" s="16">
        <v>36</v>
      </c>
      <c r="B37" s="16" t="str">
        <f t="shared" si="3"/>
        <v>Bernard, Théo</v>
      </c>
      <c r="C37" s="16" t="s">
        <v>23</v>
      </c>
      <c r="D37" s="16" t="str">
        <f>"Q"&amp;ROUNDUP(MATCH(C37,Lookups!$L$3:$L$14,0)/3,0)</f>
        <v>Q1</v>
      </c>
      <c r="E37" s="16" t="s">
        <v>43</v>
      </c>
      <c r="F37" s="16" t="s">
        <v>147</v>
      </c>
      <c r="G37" s="16" t="s">
        <v>136</v>
      </c>
      <c r="H37" s="17" t="s">
        <v>137</v>
      </c>
      <c r="I37" s="16" t="str">
        <f>INDEX(Lookups!$B$3:$B$6,MATCH(Y37,Lookups!$A$3:$A$6,0))</f>
        <v>France</v>
      </c>
      <c r="J37" s="16" t="str">
        <f>INDEX(Lookups!$C$3:$C$6,MATCH(Y37,Lookups!$A$3:$A$6,0))</f>
        <v>Europe</v>
      </c>
      <c r="K37" s="16" t="str">
        <f>INDEX(Lookups!$D$3:$D$6,MATCH(Y37,Lookups!$A$3:$A$6,0))</f>
        <v>EUR</v>
      </c>
      <c r="L37" s="25">
        <v>1050</v>
      </c>
      <c r="M37" s="19">
        <f>ROUND(L37*INDEX(Lookups!$G$3:$G$5,MATCH(K37,Lookups!$F$3:$F$5,0)),0)</f>
        <v>1134</v>
      </c>
      <c r="N37" s="20">
        <v>200</v>
      </c>
      <c r="O37" s="21">
        <v>0</v>
      </c>
      <c r="P37" s="19">
        <f t="shared" si="4"/>
        <v>226800</v>
      </c>
      <c r="Q37" s="16" t="str">
        <f>ROUND(AA37*Lookups!$O$3,0)&amp;" - "&amp;ROUND(AB37*Lookups!$O$3,0)&amp;" km/h"</f>
        <v>29 - 45 km/h</v>
      </c>
      <c r="R37" s="22">
        <f>IF(ISNUMBER(SEARCH("meters",W37)),ROUND(VALUE(SUBSTITUTE(LEFT(W37,FIND(" ",W37)-1),",",""))/Lookups!$O$4,0),ROUND(VALUE(LEFT(W37,FIND(" ",W37)-1))*Lookups!$O$3,0))</f>
        <v>40</v>
      </c>
      <c r="S37" s="16" t="s">
        <v>138</v>
      </c>
      <c r="T37" s="16" t="s">
        <v>139</v>
      </c>
      <c r="U37" s="16" t="s">
        <v>99</v>
      </c>
      <c r="V37" s="16" t="s">
        <v>100</v>
      </c>
      <c r="W37" s="16" t="s">
        <v>101</v>
      </c>
      <c r="X37" s="16" t="s">
        <v>148</v>
      </c>
      <c r="Y37" s="16" t="s">
        <v>141</v>
      </c>
      <c r="Z37" s="16" t="s">
        <v>149</v>
      </c>
      <c r="AA37" s="16">
        <f>IF(U37="",INDEX(Lookups!$J$3:$J$5,MATCH(E37,Lookups!$I$3:$I$5,0)),VALUE(LEFT(U37,FIND(" ",U37)-1)))</f>
        <v>18</v>
      </c>
      <c r="AB37" s="16">
        <f t="shared" si="5"/>
        <v>28</v>
      </c>
    </row>
    <row r="38" spans="1:28" x14ac:dyDescent="0.3">
      <c r="A38" s="16">
        <v>37</v>
      </c>
      <c r="B38" s="16" t="str">
        <f t="shared" si="3"/>
        <v>Joshi, Sanya</v>
      </c>
      <c r="C38" s="16" t="s">
        <v>24</v>
      </c>
      <c r="D38" s="16" t="str">
        <f>"Q"&amp;ROUNDUP(MATCH(C38,Lookups!$L$3:$L$14,0)/3,0)</f>
        <v>Q2</v>
      </c>
      <c r="E38" s="16" t="s">
        <v>41</v>
      </c>
      <c r="F38" s="16" t="s">
        <v>79</v>
      </c>
      <c r="G38" s="16" t="s">
        <v>80</v>
      </c>
      <c r="H38" s="17" t="s">
        <v>81</v>
      </c>
      <c r="I38" s="16" t="str">
        <f>INDEX(Lookups!$B$3:$B$6,MATCH(Y38,Lookups!$A$3:$A$6,0))</f>
        <v>India</v>
      </c>
      <c r="J38" s="16" t="str">
        <f>INDEX(Lookups!$C$3:$C$6,MATCH(Y38,Lookups!$A$3:$A$6,0))</f>
        <v>Asia</v>
      </c>
      <c r="K38" s="16" t="str">
        <f>INDEX(Lookups!$D$3:$D$6,MATCH(Y38,Lookups!$A$3:$A$6,0))</f>
        <v>INR</v>
      </c>
      <c r="L38" s="18">
        <v>30000</v>
      </c>
      <c r="M38" s="19">
        <f>ROUND(L38*INDEX(Lookups!$G$3:$G$5,MATCH(K38,Lookups!$F$3:$F$5,0)),0)</f>
        <v>360</v>
      </c>
      <c r="N38" s="20">
        <v>200</v>
      </c>
      <c r="O38" s="21">
        <v>0</v>
      </c>
      <c r="P38" s="19">
        <f t="shared" si="4"/>
        <v>72000</v>
      </c>
      <c r="Q38" s="16" t="str">
        <f>ROUND(AA38*Lookups!$O$3,0)&amp;" - "&amp;ROUND(AB38*Lookups!$O$3,0)&amp;" km/h"</f>
        <v>24 - 48 km/h</v>
      </c>
      <c r="R38" s="22">
        <f>IF(ISNUMBER(SEARCH("meters",W38)),ROUND(VALUE(SUBSTITUTE(LEFT(W38,FIND(" ",W38)-1),",",""))/Lookups!$O$4,0),ROUND(VALUE(LEFT(W38,FIND(" ",W38)-1))*Lookups!$O$3,0))</f>
        <v>48</v>
      </c>
      <c r="S38" s="16" t="s">
        <v>82</v>
      </c>
      <c r="T38" s="16" t="s">
        <v>83</v>
      </c>
      <c r="U38" s="16" t="s">
        <v>84</v>
      </c>
      <c r="V38" s="16" t="s">
        <v>85</v>
      </c>
      <c r="W38" s="16" t="s">
        <v>86</v>
      </c>
      <c r="X38" s="16" t="s">
        <v>87</v>
      </c>
      <c r="Y38" s="16" t="s">
        <v>88</v>
      </c>
      <c r="Z38" s="16" t="s">
        <v>89</v>
      </c>
      <c r="AA38" s="16">
        <f>IF(U38="",INDEX(Lookups!$J$3:$J$5,MATCH(E38,Lookups!$I$3:$I$5,0)),VALUE(LEFT(U38,FIND(" ",U38)-1)))</f>
        <v>15</v>
      </c>
      <c r="AB38" s="16">
        <f t="shared" si="5"/>
        <v>30</v>
      </c>
    </row>
    <row r="39" spans="1:28" x14ac:dyDescent="0.3">
      <c r="A39" s="16">
        <v>38</v>
      </c>
      <c r="B39" s="16" t="str">
        <f t="shared" si="3"/>
        <v>Joshi, Sanya</v>
      </c>
      <c r="C39" s="16" t="s">
        <v>24</v>
      </c>
      <c r="D39" s="16" t="str">
        <f>"Q"&amp;ROUNDUP(MATCH(C39,Lookups!$L$3:$L$14,0)/3,0)</f>
        <v>Q2</v>
      </c>
      <c r="E39" s="16" t="s">
        <v>42</v>
      </c>
      <c r="F39" s="16" t="s">
        <v>91</v>
      </c>
      <c r="G39" s="16" t="s">
        <v>80</v>
      </c>
      <c r="H39" s="17" t="s">
        <v>81</v>
      </c>
      <c r="I39" s="16" t="str">
        <f>INDEX(Lookups!$B$3:$B$6,MATCH(Y39,Lookups!$A$3:$A$6,0))</f>
        <v>India</v>
      </c>
      <c r="J39" s="16" t="str">
        <f>INDEX(Lookups!$C$3:$C$6,MATCH(Y39,Lookups!$A$3:$A$6,0))</f>
        <v>Asia</v>
      </c>
      <c r="K39" s="16" t="str">
        <f>INDEX(Lookups!$D$3:$D$6,MATCH(Y39,Lookups!$A$3:$A$6,0))</f>
        <v>INR</v>
      </c>
      <c r="L39" s="18">
        <v>25000</v>
      </c>
      <c r="M39" s="19">
        <f>ROUND(L39*INDEX(Lookups!$G$3:$G$5,MATCH(K39,Lookups!$F$3:$F$5,0)),0)</f>
        <v>300</v>
      </c>
      <c r="N39" s="20">
        <v>450</v>
      </c>
      <c r="O39" s="21">
        <v>0</v>
      </c>
      <c r="P39" s="19">
        <f t="shared" si="4"/>
        <v>135000</v>
      </c>
      <c r="Q39" s="16" t="str">
        <f>ROUND(AA39*Lookups!$O$3,0)&amp;" - "&amp;ROUND(AB39*Lookups!$O$3,0)&amp;" km/h"</f>
        <v>32 - 56 km/h</v>
      </c>
      <c r="R39" s="22">
        <f>IF(ISNUMBER(SEARCH("meters",W39)),ROUND(VALUE(SUBSTITUTE(LEFT(W39,FIND(" ",W39)-1),",",""))/Lookups!$O$4,0),ROUND(VALUE(LEFT(W39,FIND(" ",W39)-1))*Lookups!$O$3,0))</f>
        <v>64</v>
      </c>
      <c r="S39" s="16" t="s">
        <v>82</v>
      </c>
      <c r="T39" s="16" t="s">
        <v>83</v>
      </c>
      <c r="U39" s="16" t="s">
        <v>92</v>
      </c>
      <c r="V39" s="16" t="s">
        <v>93</v>
      </c>
      <c r="W39" s="16" t="s">
        <v>94</v>
      </c>
      <c r="X39" s="16" t="s">
        <v>95</v>
      </c>
      <c r="Y39" s="16" t="s">
        <v>88</v>
      </c>
      <c r="Z39" s="16" t="s">
        <v>96</v>
      </c>
      <c r="AA39" s="16">
        <f>IF(U39="",INDEX(Lookups!$J$3:$J$5,MATCH(E39,Lookups!$I$3:$I$5,0)),VALUE(LEFT(U39,FIND(" ",U39)-1)))</f>
        <v>20</v>
      </c>
      <c r="AB39" s="16">
        <f t="shared" si="5"/>
        <v>35</v>
      </c>
    </row>
    <row r="40" spans="1:28" x14ac:dyDescent="0.3">
      <c r="A40" s="16">
        <v>39</v>
      </c>
      <c r="B40" s="16" t="str">
        <f t="shared" si="3"/>
        <v>Joshi, Sanya</v>
      </c>
      <c r="C40" s="16" t="s">
        <v>24</v>
      </c>
      <c r="D40" s="16" t="str">
        <f>"Q"&amp;ROUNDUP(MATCH(C40,Lookups!$L$3:$L$14,0)/3,0)</f>
        <v>Q2</v>
      </c>
      <c r="E40" s="16" t="s">
        <v>43</v>
      </c>
      <c r="F40" s="16" t="s">
        <v>98</v>
      </c>
      <c r="G40" s="16" t="s">
        <v>80</v>
      </c>
      <c r="H40" s="17" t="s">
        <v>81</v>
      </c>
      <c r="I40" s="16" t="str">
        <f>INDEX(Lookups!$B$3:$B$6,MATCH(Y40,Lookups!$A$3:$A$6,0))</f>
        <v>India</v>
      </c>
      <c r="J40" s="16" t="str">
        <f>INDEX(Lookups!$C$3:$C$6,MATCH(Y40,Lookups!$A$3:$A$6,0))</f>
        <v>Asia</v>
      </c>
      <c r="K40" s="16" t="str">
        <f>INDEX(Lookups!$D$3:$D$6,MATCH(Y40,Lookups!$A$3:$A$6,0))</f>
        <v>INR</v>
      </c>
      <c r="L40" s="18">
        <v>22000</v>
      </c>
      <c r="M40" s="19">
        <f>ROUND(L40*INDEX(Lookups!$G$3:$G$5,MATCH(K40,Lookups!$F$3:$F$5,0)),0)</f>
        <v>264</v>
      </c>
      <c r="N40" s="20">
        <v>300</v>
      </c>
      <c r="O40" s="21">
        <v>0</v>
      </c>
      <c r="P40" s="19">
        <f t="shared" si="4"/>
        <v>79200</v>
      </c>
      <c r="Q40" s="16" t="str">
        <f>ROUND(AA40*Lookups!$O$3,0)&amp;" - "&amp;ROUND(AB40*Lookups!$O$3,0)&amp;" km/h"</f>
        <v>29 - 45 km/h</v>
      </c>
      <c r="R40" s="22">
        <f>IF(ISNUMBER(SEARCH("meters",W40)),ROUND(VALUE(SUBSTITUTE(LEFT(W40,FIND(" ",W40)-1),",",""))/Lookups!$O$4,0),ROUND(VALUE(LEFT(W40,FIND(" ",W40)-1))*Lookups!$O$3,0))</f>
        <v>40</v>
      </c>
      <c r="S40" s="16" t="s">
        <v>82</v>
      </c>
      <c r="T40" s="16" t="s">
        <v>83</v>
      </c>
      <c r="U40" s="16" t="s">
        <v>99</v>
      </c>
      <c r="V40" s="16" t="s">
        <v>100</v>
      </c>
      <c r="W40" s="16" t="s">
        <v>101</v>
      </c>
      <c r="X40" s="16" t="s">
        <v>102</v>
      </c>
      <c r="Y40" s="16" t="s">
        <v>88</v>
      </c>
      <c r="Z40" s="16" t="s">
        <v>103</v>
      </c>
      <c r="AA40" s="16">
        <f>IF(U40="",INDEX(Lookups!$J$3:$J$5,MATCH(E40,Lookups!$I$3:$I$5,0)),VALUE(LEFT(U40,FIND(" ",U40)-1)))</f>
        <v>18</v>
      </c>
      <c r="AB40" s="16">
        <f t="shared" si="5"/>
        <v>28</v>
      </c>
    </row>
    <row r="41" spans="1:28" x14ac:dyDescent="0.3">
      <c r="A41" s="16">
        <v>40</v>
      </c>
      <c r="B41" s="16" t="str">
        <f t="shared" si="3"/>
        <v>Liu, Fang</v>
      </c>
      <c r="C41" s="16" t="s">
        <v>24</v>
      </c>
      <c r="D41" s="16" t="str">
        <f>"Q"&amp;ROUNDUP(MATCH(C41,Lookups!$L$3:$L$14,0)/3,0)</f>
        <v>Q2</v>
      </c>
      <c r="E41" s="16" t="s">
        <v>41</v>
      </c>
      <c r="F41" s="16" t="s">
        <v>105</v>
      </c>
      <c r="G41" s="16" t="s">
        <v>106</v>
      </c>
      <c r="H41" s="17" t="s">
        <v>107</v>
      </c>
      <c r="I41" s="16" t="str">
        <f>INDEX(Lookups!$B$3:$B$6,MATCH(Y41,Lookups!$A$3:$A$6,0))</f>
        <v>China</v>
      </c>
      <c r="J41" s="16" t="str">
        <f>INDEX(Lookups!$C$3:$C$6,MATCH(Y41,Lookups!$A$3:$A$6,0))</f>
        <v>Asia</v>
      </c>
      <c r="K41" s="16" t="str">
        <f>INDEX(Lookups!$D$3:$D$6,MATCH(Y41,Lookups!$A$3:$A$6,0))</f>
        <v>CNY</v>
      </c>
      <c r="L41" s="24">
        <v>5000</v>
      </c>
      <c r="M41" s="19">
        <f>ROUND(L41*INDEX(Lookups!$G$3:$G$5,MATCH(K41,Lookups!$F$3:$F$5,0)),0)</f>
        <v>700</v>
      </c>
      <c r="N41" s="20">
        <v>700</v>
      </c>
      <c r="O41" s="21">
        <v>0</v>
      </c>
      <c r="P41" s="19">
        <f t="shared" si="4"/>
        <v>490000</v>
      </c>
      <c r="Q41" s="16" t="str">
        <f>ROUND(AA41*Lookups!$O$3,0)&amp;" - "&amp;ROUND(AB41*Lookups!$O$3,0)&amp;" km/h"</f>
        <v>24 - 48 km/h</v>
      </c>
      <c r="R41" s="22">
        <f>IF(ISNUMBER(SEARCH("meters",W41)),ROUND(VALUE(SUBSTITUTE(LEFT(W41,FIND(" ",W41)-1),",",""))/Lookups!$O$4,0),ROUND(VALUE(LEFT(W41,FIND(" ",W41)-1))*Lookups!$O$3,0))</f>
        <v>48</v>
      </c>
      <c r="S41" s="16" t="s">
        <v>108</v>
      </c>
      <c r="T41" s="16" t="s">
        <v>109</v>
      </c>
      <c r="U41" s="16"/>
      <c r="V41" s="16" t="s">
        <v>85</v>
      </c>
      <c r="W41" s="16" t="s">
        <v>86</v>
      </c>
      <c r="X41" s="16" t="s">
        <v>110</v>
      </c>
      <c r="Y41" s="16" t="s">
        <v>111</v>
      </c>
      <c r="Z41" s="16" t="s">
        <v>112</v>
      </c>
      <c r="AA41" s="16">
        <f>IF(U41="",INDEX(Lookups!$J$3:$J$5,MATCH(E41,Lookups!$I$3:$I$5,0)),VALUE(LEFT(U41,FIND(" ",U41)-1)))</f>
        <v>15</v>
      </c>
      <c r="AB41" s="16">
        <f t="shared" si="5"/>
        <v>30</v>
      </c>
    </row>
    <row r="42" spans="1:28" x14ac:dyDescent="0.3">
      <c r="A42" s="16">
        <v>41</v>
      </c>
      <c r="B42" s="16" t="str">
        <f t="shared" si="3"/>
        <v>Liu, Fang</v>
      </c>
      <c r="C42" s="16" t="s">
        <v>24</v>
      </c>
      <c r="D42" s="16" t="str">
        <f>"Q"&amp;ROUNDUP(MATCH(C42,Lookups!$L$3:$L$14,0)/3,0)</f>
        <v>Q2</v>
      </c>
      <c r="E42" s="16" t="s">
        <v>42</v>
      </c>
      <c r="F42" s="16" t="s">
        <v>113</v>
      </c>
      <c r="G42" s="16" t="s">
        <v>106</v>
      </c>
      <c r="H42" s="17" t="s">
        <v>107</v>
      </c>
      <c r="I42" s="16" t="str">
        <f>INDEX(Lookups!$B$3:$B$6,MATCH(Y42,Lookups!$A$3:$A$6,0))</f>
        <v>China</v>
      </c>
      <c r="J42" s="16" t="str">
        <f>INDEX(Lookups!$C$3:$C$6,MATCH(Y42,Lookups!$A$3:$A$6,0))</f>
        <v>Asia</v>
      </c>
      <c r="K42" s="16" t="str">
        <f>INDEX(Lookups!$D$3:$D$6,MATCH(Y42,Lookups!$A$3:$A$6,0))</f>
        <v>CNY</v>
      </c>
      <c r="L42" s="24">
        <v>3500</v>
      </c>
      <c r="M42" s="19">
        <f>ROUND(L42*INDEX(Lookups!$G$3:$G$5,MATCH(K42,Lookups!$F$3:$F$5,0)),0)</f>
        <v>490</v>
      </c>
      <c r="N42" s="20">
        <v>1600</v>
      </c>
      <c r="O42" s="21">
        <v>0</v>
      </c>
      <c r="P42" s="19">
        <f t="shared" si="4"/>
        <v>784000</v>
      </c>
      <c r="Q42" s="16" t="str">
        <f>ROUND(AA42*Lookups!$O$3,0)&amp;" - "&amp;ROUND(AB42*Lookups!$O$3,0)&amp;" km/h"</f>
        <v>32 - 56 km/h</v>
      </c>
      <c r="R42" s="22">
        <f>IF(ISNUMBER(SEARCH("meters",W42)),ROUND(VALUE(SUBSTITUTE(LEFT(W42,FIND(" ",W42)-1),",",""))/Lookups!$O$4,0),ROUND(VALUE(LEFT(W42,FIND(" ",W42)-1))*Lookups!$O$3,0))</f>
        <v>64</v>
      </c>
      <c r="S42" s="16" t="s">
        <v>108</v>
      </c>
      <c r="T42" s="16" t="s">
        <v>109</v>
      </c>
      <c r="U42" s="16" t="s">
        <v>92</v>
      </c>
      <c r="V42" s="16" t="s">
        <v>93</v>
      </c>
      <c r="W42" s="16" t="s">
        <v>94</v>
      </c>
      <c r="X42" s="16" t="s">
        <v>114</v>
      </c>
      <c r="Y42" s="16" t="s">
        <v>111</v>
      </c>
      <c r="Z42" s="16" t="s">
        <v>115</v>
      </c>
      <c r="AA42" s="16">
        <f>IF(U42="",INDEX(Lookups!$J$3:$J$5,MATCH(E42,Lookups!$I$3:$I$5,0)),VALUE(LEFT(U42,FIND(" ",U42)-1)))</f>
        <v>20</v>
      </c>
      <c r="AB42" s="16">
        <f t="shared" si="5"/>
        <v>35</v>
      </c>
    </row>
    <row r="43" spans="1:28" x14ac:dyDescent="0.3">
      <c r="A43" s="16">
        <v>42</v>
      </c>
      <c r="B43" s="16" t="str">
        <f t="shared" si="3"/>
        <v>Liu, Fang</v>
      </c>
      <c r="C43" s="16" t="s">
        <v>24</v>
      </c>
      <c r="D43" s="16" t="str">
        <f>"Q"&amp;ROUNDUP(MATCH(C43,Lookups!$L$3:$L$14,0)/3,0)</f>
        <v>Q2</v>
      </c>
      <c r="E43" s="16" t="s">
        <v>43</v>
      </c>
      <c r="F43" s="16" t="s">
        <v>116</v>
      </c>
      <c r="G43" s="16" t="s">
        <v>106</v>
      </c>
      <c r="H43" s="17" t="s">
        <v>107</v>
      </c>
      <c r="I43" s="16" t="str">
        <f>INDEX(Lookups!$B$3:$B$6,MATCH(Y43,Lookups!$A$3:$A$6,0))</f>
        <v>China</v>
      </c>
      <c r="J43" s="16" t="str">
        <f>INDEX(Lookups!$C$3:$C$6,MATCH(Y43,Lookups!$A$3:$A$6,0))</f>
        <v>Asia</v>
      </c>
      <c r="K43" s="16" t="str">
        <f>INDEX(Lookups!$D$3:$D$6,MATCH(Y43,Lookups!$A$3:$A$6,0))</f>
        <v>CNY</v>
      </c>
      <c r="L43" s="24">
        <v>4200</v>
      </c>
      <c r="M43" s="19">
        <f>ROUND(L43*INDEX(Lookups!$G$3:$G$5,MATCH(K43,Lookups!$F$3:$F$5,0)),0)</f>
        <v>588</v>
      </c>
      <c r="N43" s="20">
        <v>1000</v>
      </c>
      <c r="O43" s="21">
        <v>0</v>
      </c>
      <c r="P43" s="19">
        <f t="shared" si="4"/>
        <v>588000</v>
      </c>
      <c r="Q43" s="16" t="str">
        <f>ROUND(AA43*Lookups!$O$3,0)&amp;" - "&amp;ROUND(AB43*Lookups!$O$3,0)&amp;" km/h"</f>
        <v>29 - 45 km/h</v>
      </c>
      <c r="R43" s="22">
        <f>IF(ISNUMBER(SEARCH("meters",W43)),ROUND(VALUE(SUBSTITUTE(LEFT(W43,FIND(" ",W43)-1),",",""))/Lookups!$O$4,0),ROUND(VALUE(LEFT(W43,FIND(" ",W43)-1))*Lookups!$O$3,0))</f>
        <v>40</v>
      </c>
      <c r="S43" s="16" t="s">
        <v>108</v>
      </c>
      <c r="T43" s="16" t="s">
        <v>109</v>
      </c>
      <c r="U43" s="16" t="s">
        <v>99</v>
      </c>
      <c r="V43" s="16" t="s">
        <v>100</v>
      </c>
      <c r="W43" s="16" t="s">
        <v>101</v>
      </c>
      <c r="X43" s="16" t="s">
        <v>118</v>
      </c>
      <c r="Y43" s="16" t="s">
        <v>111</v>
      </c>
      <c r="Z43" s="16" t="s">
        <v>119</v>
      </c>
      <c r="AA43" s="16">
        <f>IF(U43="",INDEX(Lookups!$J$3:$J$5,MATCH(E43,Lookups!$I$3:$I$5,0)),VALUE(LEFT(U43,FIND(" ",U43)-1)))</f>
        <v>18</v>
      </c>
      <c r="AB43" s="16">
        <f t="shared" si="5"/>
        <v>28</v>
      </c>
    </row>
    <row r="44" spans="1:28" x14ac:dyDescent="0.3">
      <c r="A44" s="16">
        <v>43</v>
      </c>
      <c r="B44" s="16" t="str">
        <f t="shared" si="3"/>
        <v>Fischer, Jonas</v>
      </c>
      <c r="C44" s="16" t="s">
        <v>24</v>
      </c>
      <c r="D44" s="16" t="str">
        <f>"Q"&amp;ROUNDUP(MATCH(C44,Lookups!$L$3:$L$14,0)/3,0)</f>
        <v>Q2</v>
      </c>
      <c r="E44" s="16" t="s">
        <v>41</v>
      </c>
      <c r="F44" s="16" t="s">
        <v>120</v>
      </c>
      <c r="G44" s="16" t="s">
        <v>121</v>
      </c>
      <c r="H44" s="17" t="s">
        <v>122</v>
      </c>
      <c r="I44" s="16" t="str">
        <f>INDEX(Lookups!$B$3:$B$6,MATCH(Y44,Lookups!$A$3:$A$6,0))</f>
        <v>Germany</v>
      </c>
      <c r="J44" s="16" t="str">
        <f>INDEX(Lookups!$C$3:$C$6,MATCH(Y44,Lookups!$A$3:$A$6,0))</f>
        <v>Europe</v>
      </c>
      <c r="K44" s="16" t="str">
        <f>INDEX(Lookups!$D$3:$D$6,MATCH(Y44,Lookups!$A$3:$A$6,0))</f>
        <v>EUR</v>
      </c>
      <c r="L44" s="25">
        <v>1000</v>
      </c>
      <c r="M44" s="19">
        <f>ROUND(L44*INDEX(Lookups!$G$3:$G$5,MATCH(K44,Lookups!$F$3:$F$5,0)),0)</f>
        <v>1080</v>
      </c>
      <c r="N44" s="20">
        <v>160</v>
      </c>
      <c r="O44" s="21">
        <v>0</v>
      </c>
      <c r="P44" s="19">
        <f t="shared" si="4"/>
        <v>172800</v>
      </c>
      <c r="Q44" s="16" t="str">
        <f>ROUND(AA44*Lookups!$O$3,0)&amp;" - "&amp;ROUND(AB44*Lookups!$O$3,0)&amp;" km/h"</f>
        <v>24 - 48 km/h</v>
      </c>
      <c r="R44" s="22">
        <f>IF(ISNUMBER(SEARCH("meters",W44)),ROUND(VALUE(SUBSTITUTE(LEFT(W44,FIND(" ",W44)-1),",",""))/Lookups!$O$4,0),ROUND(VALUE(LEFT(W44,FIND(" ",W44)-1))*Lookups!$O$3,0))</f>
        <v>48</v>
      </c>
      <c r="S44" s="16" t="s">
        <v>123</v>
      </c>
      <c r="T44" s="16" t="s">
        <v>124</v>
      </c>
      <c r="U44" s="16" t="s">
        <v>84</v>
      </c>
      <c r="V44" s="16" t="s">
        <v>85</v>
      </c>
      <c r="W44" s="16" t="s">
        <v>125</v>
      </c>
      <c r="X44" s="16" t="s">
        <v>126</v>
      </c>
      <c r="Y44" s="16" t="s">
        <v>127</v>
      </c>
      <c r="Z44" s="16" t="s">
        <v>128</v>
      </c>
      <c r="AA44" s="16">
        <f>IF(U44="",INDEX(Lookups!$J$3:$J$5,MATCH(E44,Lookups!$I$3:$I$5,0)),VALUE(LEFT(U44,FIND(" ",U44)-1)))</f>
        <v>15</v>
      </c>
      <c r="AB44" s="16">
        <f t="shared" si="5"/>
        <v>30</v>
      </c>
    </row>
    <row r="45" spans="1:28" x14ac:dyDescent="0.3">
      <c r="A45" s="16">
        <v>44</v>
      </c>
      <c r="B45" s="16" t="str">
        <f t="shared" si="3"/>
        <v>Fischer, Jonas</v>
      </c>
      <c r="C45" s="16" t="s">
        <v>24</v>
      </c>
      <c r="D45" s="16" t="str">
        <f>"Q"&amp;ROUNDUP(MATCH(C45,Lookups!$L$3:$L$14,0)/3,0)</f>
        <v>Q2</v>
      </c>
      <c r="E45" s="16" t="s">
        <v>42</v>
      </c>
      <c r="F45" s="16" t="s">
        <v>129</v>
      </c>
      <c r="G45" s="16" t="s">
        <v>121</v>
      </c>
      <c r="H45" s="17" t="s">
        <v>122</v>
      </c>
      <c r="I45" s="16" t="str">
        <f>INDEX(Lookups!$B$3:$B$6,MATCH(Y45,Lookups!$A$3:$A$6,0))</f>
        <v>Germany</v>
      </c>
      <c r="J45" s="16" t="str">
        <f>INDEX(Lookups!$C$3:$C$6,MATCH(Y45,Lookups!$A$3:$A$6,0))</f>
        <v>Europe</v>
      </c>
      <c r="K45" s="16" t="str">
        <f>INDEX(Lookups!$D$3:$D$6,MATCH(Y45,Lookups!$A$3:$A$6,0))</f>
        <v>EUR</v>
      </c>
      <c r="L45" s="25">
        <v>800</v>
      </c>
      <c r="M45" s="19">
        <f>ROUND(L45*INDEX(Lookups!$G$3:$G$5,MATCH(K45,Lookups!$F$3:$F$5,0)),0)</f>
        <v>864</v>
      </c>
      <c r="N45" s="20">
        <v>280</v>
      </c>
      <c r="O45" s="21">
        <v>0</v>
      </c>
      <c r="P45" s="19">
        <f t="shared" si="4"/>
        <v>241920</v>
      </c>
      <c r="Q45" s="16" t="str">
        <f>ROUND(AA45*Lookups!$O$3,0)&amp;" - "&amp;ROUND(AB45*Lookups!$O$3,0)&amp;" km/h"</f>
        <v>32 - 56 km/h</v>
      </c>
      <c r="R45" s="22">
        <f>IF(ISNUMBER(SEARCH("meters",W45)),ROUND(VALUE(SUBSTITUTE(LEFT(W45,FIND(" ",W45)-1),",",""))/Lookups!$O$4,0),ROUND(VALUE(LEFT(W45,FIND(" ",W45)-1))*Lookups!$O$3,0))</f>
        <v>64</v>
      </c>
      <c r="S45" s="16" t="s">
        <v>123</v>
      </c>
      <c r="T45" s="16" t="s">
        <v>124</v>
      </c>
      <c r="U45" s="16" t="s">
        <v>92</v>
      </c>
      <c r="V45" s="16" t="s">
        <v>93</v>
      </c>
      <c r="W45" s="16" t="s">
        <v>94</v>
      </c>
      <c r="X45" s="16" t="s">
        <v>130</v>
      </c>
      <c r="Y45" s="16" t="s">
        <v>127</v>
      </c>
      <c r="Z45" s="16" t="s">
        <v>131</v>
      </c>
      <c r="AA45" s="16">
        <f>IF(U45="",INDEX(Lookups!$J$3:$J$5,MATCH(E45,Lookups!$I$3:$I$5,0)),VALUE(LEFT(U45,FIND(" ",U45)-1)))</f>
        <v>20</v>
      </c>
      <c r="AB45" s="16">
        <f t="shared" si="5"/>
        <v>35</v>
      </c>
    </row>
    <row r="46" spans="1:28" x14ac:dyDescent="0.3">
      <c r="A46" s="16">
        <v>45</v>
      </c>
      <c r="B46" s="16" t="str">
        <f t="shared" si="3"/>
        <v>Fischer, Jonas</v>
      </c>
      <c r="C46" s="16" t="s">
        <v>24</v>
      </c>
      <c r="D46" s="16" t="str">
        <f>"Q"&amp;ROUNDUP(MATCH(C46,Lookups!$L$3:$L$14,0)/3,0)</f>
        <v>Q2</v>
      </c>
      <c r="E46" s="16" t="s">
        <v>43</v>
      </c>
      <c r="F46" s="16" t="s">
        <v>132</v>
      </c>
      <c r="G46" s="16" t="s">
        <v>121</v>
      </c>
      <c r="H46" s="17" t="s">
        <v>122</v>
      </c>
      <c r="I46" s="16" t="str">
        <f>INDEX(Lookups!$B$3:$B$6,MATCH(Y46,Lookups!$A$3:$A$6,0))</f>
        <v>Germany</v>
      </c>
      <c r="J46" s="16" t="str">
        <f>INDEX(Lookups!$C$3:$C$6,MATCH(Y46,Lookups!$A$3:$A$6,0))</f>
        <v>Europe</v>
      </c>
      <c r="K46" s="16" t="str">
        <f>INDEX(Lookups!$D$3:$D$6,MATCH(Y46,Lookups!$A$3:$A$6,0))</f>
        <v>EUR</v>
      </c>
      <c r="L46" s="25">
        <v>950</v>
      </c>
      <c r="M46" s="19">
        <f>ROUND(L46*INDEX(Lookups!$G$3:$G$5,MATCH(K46,Lookups!$F$3:$F$5,0)),0)</f>
        <v>1026</v>
      </c>
      <c r="N46" s="20">
        <v>200</v>
      </c>
      <c r="O46" s="21">
        <v>0</v>
      </c>
      <c r="P46" s="19">
        <f t="shared" si="4"/>
        <v>205200</v>
      </c>
      <c r="Q46" s="16" t="str">
        <f>ROUND(AA46*Lookups!$O$3,0)&amp;" - "&amp;ROUND(AB46*Lookups!$O$3,0)&amp;" km/h"</f>
        <v>29 - 45 km/h</v>
      </c>
      <c r="R46" s="22">
        <f>IF(ISNUMBER(SEARCH("meters",W46)),ROUND(VALUE(SUBSTITUTE(LEFT(W46,FIND(" ",W46)-1),",",""))/Lookups!$O$4,0),ROUND(VALUE(LEFT(W46,FIND(" ",W46)-1))*Lookups!$O$3,0))</f>
        <v>40</v>
      </c>
      <c r="S46" s="16" t="s">
        <v>123</v>
      </c>
      <c r="T46" s="16" t="s">
        <v>124</v>
      </c>
      <c r="U46" s="16" t="s">
        <v>99</v>
      </c>
      <c r="V46" s="16" t="s">
        <v>100</v>
      </c>
      <c r="W46" s="16" t="s">
        <v>101</v>
      </c>
      <c r="X46" s="16" t="s">
        <v>133</v>
      </c>
      <c r="Y46" s="16" t="s">
        <v>127</v>
      </c>
      <c r="Z46" s="16" t="s">
        <v>134</v>
      </c>
      <c r="AA46" s="16">
        <f>IF(U46="",INDEX(Lookups!$J$3:$J$5,MATCH(E46,Lookups!$I$3:$I$5,0)),VALUE(LEFT(U46,FIND(" ",U46)-1)))</f>
        <v>18</v>
      </c>
      <c r="AB46" s="16">
        <f t="shared" si="5"/>
        <v>28</v>
      </c>
    </row>
    <row r="47" spans="1:28" x14ac:dyDescent="0.3">
      <c r="A47" s="16">
        <v>46</v>
      </c>
      <c r="B47" s="16" t="str">
        <f t="shared" si="3"/>
        <v>Bernard, Théo</v>
      </c>
      <c r="C47" s="16" t="s">
        <v>24</v>
      </c>
      <c r="D47" s="16" t="str">
        <f>"Q"&amp;ROUNDUP(MATCH(C47,Lookups!$L$3:$L$14,0)/3,0)</f>
        <v>Q2</v>
      </c>
      <c r="E47" s="16" t="s">
        <v>41</v>
      </c>
      <c r="F47" s="16" t="s">
        <v>135</v>
      </c>
      <c r="G47" s="16" t="s">
        <v>136</v>
      </c>
      <c r="H47" s="17" t="s">
        <v>137</v>
      </c>
      <c r="I47" s="16" t="str">
        <f>INDEX(Lookups!$B$3:$B$6,MATCH(Y47,Lookups!$A$3:$A$6,0))</f>
        <v>France</v>
      </c>
      <c r="J47" s="16" t="str">
        <f>INDEX(Lookups!$C$3:$C$6,MATCH(Y47,Lookups!$A$3:$A$6,0))</f>
        <v>Europe</v>
      </c>
      <c r="K47" s="16" t="str">
        <f>INDEX(Lookups!$D$3:$D$6,MATCH(Y47,Lookups!$A$3:$A$6,0))</f>
        <v>EUR</v>
      </c>
      <c r="L47" s="25">
        <v>1100</v>
      </c>
      <c r="M47" s="19">
        <f>ROUND(L47*INDEX(Lookups!$G$3:$G$5,MATCH(K47,Lookups!$F$3:$F$5,0)),0)</f>
        <v>1188</v>
      </c>
      <c r="N47" s="20">
        <v>130</v>
      </c>
      <c r="O47" s="21">
        <v>0</v>
      </c>
      <c r="P47" s="19">
        <f t="shared" si="4"/>
        <v>154440</v>
      </c>
      <c r="Q47" s="16" t="str">
        <f>ROUND(AA47*Lookups!$O$3,0)&amp;" - "&amp;ROUND(AB47*Lookups!$O$3,0)&amp;" km/h"</f>
        <v>24 - 48 km/h</v>
      </c>
      <c r="R47" s="22">
        <f>IF(ISNUMBER(SEARCH("meters",W47)),ROUND(VALUE(SUBSTITUTE(LEFT(W47,FIND(" ",W47)-1),",",""))/Lookups!$O$4,0),ROUND(VALUE(LEFT(W47,FIND(" ",W47)-1))*Lookups!$O$3,0))</f>
        <v>48</v>
      </c>
      <c r="S47" s="16" t="s">
        <v>138</v>
      </c>
      <c r="T47" s="16" t="s">
        <v>139</v>
      </c>
      <c r="U47" s="16" t="s">
        <v>84</v>
      </c>
      <c r="V47" s="16" t="s">
        <v>85</v>
      </c>
      <c r="W47" s="16" t="s">
        <v>86</v>
      </c>
      <c r="X47" s="16" t="s">
        <v>140</v>
      </c>
      <c r="Y47" s="16" t="s">
        <v>141</v>
      </c>
      <c r="Z47" s="16" t="s">
        <v>142</v>
      </c>
      <c r="AA47" s="16">
        <f>IF(U47="",INDEX(Lookups!$J$3:$J$5,MATCH(E47,Lookups!$I$3:$I$5,0)),VALUE(LEFT(U47,FIND(" ",U47)-1)))</f>
        <v>15</v>
      </c>
      <c r="AB47" s="16">
        <f t="shared" si="5"/>
        <v>30</v>
      </c>
    </row>
    <row r="48" spans="1:28" x14ac:dyDescent="0.3">
      <c r="A48" s="16">
        <v>47</v>
      </c>
      <c r="B48" s="16" t="str">
        <f t="shared" si="3"/>
        <v>Bernard, Théo</v>
      </c>
      <c r="C48" s="16" t="s">
        <v>24</v>
      </c>
      <c r="D48" s="16" t="str">
        <f>"Q"&amp;ROUNDUP(MATCH(C48,Lookups!$L$3:$L$14,0)/3,0)</f>
        <v>Q2</v>
      </c>
      <c r="E48" s="16" t="s">
        <v>42</v>
      </c>
      <c r="F48" s="16" t="s">
        <v>143</v>
      </c>
      <c r="G48" s="16" t="s">
        <v>136</v>
      </c>
      <c r="H48" s="17" t="s">
        <v>137</v>
      </c>
      <c r="I48" s="16" t="str">
        <f>INDEX(Lookups!$B$3:$B$6,MATCH(Y48,Lookups!$A$3:$A$6,0))</f>
        <v>France</v>
      </c>
      <c r="J48" s="16" t="str">
        <f>INDEX(Lookups!$C$3:$C$6,MATCH(Y48,Lookups!$A$3:$A$6,0))</f>
        <v>Europe</v>
      </c>
      <c r="K48" s="16" t="str">
        <f>INDEX(Lookups!$D$3:$D$6,MATCH(Y48,Lookups!$A$3:$A$6,0))</f>
        <v>EUR</v>
      </c>
      <c r="L48" s="25">
        <v>900</v>
      </c>
      <c r="M48" s="19">
        <f>ROUND(L48*INDEX(Lookups!$G$3:$G$5,MATCH(K48,Lookups!$F$3:$F$5,0)),0)</f>
        <v>972</v>
      </c>
      <c r="N48" s="20">
        <v>300</v>
      </c>
      <c r="O48" s="21">
        <v>0</v>
      </c>
      <c r="P48" s="19">
        <f t="shared" si="4"/>
        <v>291600</v>
      </c>
      <c r="Q48" s="16" t="str">
        <f>ROUND(AA48*Lookups!$O$3,0)&amp;" - "&amp;ROUND(AB48*Lookups!$O$3,0)&amp;" km/h"</f>
        <v>32 - 56 km/h</v>
      </c>
      <c r="R48" s="22">
        <f>IF(ISNUMBER(SEARCH("meters",W48)),ROUND(VALUE(SUBSTITUTE(LEFT(W48,FIND(" ",W48)-1),",",""))/Lookups!$O$4,0),ROUND(VALUE(LEFT(W48,FIND(" ",W48)-1))*Lookups!$O$3,0))</f>
        <v>64</v>
      </c>
      <c r="S48" s="16" t="s">
        <v>138</v>
      </c>
      <c r="T48" s="16" t="s">
        <v>139</v>
      </c>
      <c r="U48" s="16" t="s">
        <v>92</v>
      </c>
      <c r="V48" s="16" t="s">
        <v>93</v>
      </c>
      <c r="W48" s="16" t="s">
        <v>94</v>
      </c>
      <c r="X48" s="16" t="s">
        <v>145</v>
      </c>
      <c r="Y48" s="16" t="s">
        <v>141</v>
      </c>
      <c r="Z48" s="16" t="s">
        <v>146</v>
      </c>
      <c r="AA48" s="16">
        <f>IF(U48="",INDEX(Lookups!$J$3:$J$5,MATCH(E48,Lookups!$I$3:$I$5,0)),VALUE(LEFT(U48,FIND(" ",U48)-1)))</f>
        <v>20</v>
      </c>
      <c r="AB48" s="16">
        <f t="shared" si="5"/>
        <v>35</v>
      </c>
    </row>
    <row r="49" spans="1:28" x14ac:dyDescent="0.3">
      <c r="A49" s="16">
        <v>48</v>
      </c>
      <c r="B49" s="16" t="str">
        <f t="shared" si="3"/>
        <v>Bernard, Théo</v>
      </c>
      <c r="C49" s="16" t="s">
        <v>24</v>
      </c>
      <c r="D49" s="16" t="str">
        <f>"Q"&amp;ROUNDUP(MATCH(C49,Lookups!$L$3:$L$14,0)/3,0)</f>
        <v>Q2</v>
      </c>
      <c r="E49" s="16" t="s">
        <v>43</v>
      </c>
      <c r="F49" s="16" t="s">
        <v>147</v>
      </c>
      <c r="G49" s="16" t="s">
        <v>136</v>
      </c>
      <c r="H49" s="17" t="s">
        <v>137</v>
      </c>
      <c r="I49" s="16" t="str">
        <f>INDEX(Lookups!$B$3:$B$6,MATCH(Y49,Lookups!$A$3:$A$6,0))</f>
        <v>France</v>
      </c>
      <c r="J49" s="16" t="str">
        <f>INDEX(Lookups!$C$3:$C$6,MATCH(Y49,Lookups!$A$3:$A$6,0))</f>
        <v>Europe</v>
      </c>
      <c r="K49" s="16" t="str">
        <f>INDEX(Lookups!$D$3:$D$6,MATCH(Y49,Lookups!$A$3:$A$6,0))</f>
        <v>EUR</v>
      </c>
      <c r="L49" s="25">
        <v>1050</v>
      </c>
      <c r="M49" s="19">
        <f>ROUND(L49*INDEX(Lookups!$G$3:$G$5,MATCH(K49,Lookups!$F$3:$F$5,0)),0)</f>
        <v>1134</v>
      </c>
      <c r="N49" s="20">
        <v>230</v>
      </c>
      <c r="O49" s="21">
        <v>0</v>
      </c>
      <c r="P49" s="19">
        <f t="shared" si="4"/>
        <v>260820</v>
      </c>
      <c r="Q49" s="16" t="str">
        <f>ROUND(AA49*Lookups!$O$3,0)&amp;" - "&amp;ROUND(AB49*Lookups!$O$3,0)&amp;" km/h"</f>
        <v>29 - 45 km/h</v>
      </c>
      <c r="R49" s="22">
        <f>IF(ISNUMBER(SEARCH("meters",W49)),ROUND(VALUE(SUBSTITUTE(LEFT(W49,FIND(" ",W49)-1),",",""))/Lookups!$O$4,0),ROUND(VALUE(LEFT(W49,FIND(" ",W49)-1))*Lookups!$O$3,0))</f>
        <v>40</v>
      </c>
      <c r="S49" s="16" t="s">
        <v>138</v>
      </c>
      <c r="T49" s="16" t="s">
        <v>139</v>
      </c>
      <c r="U49" s="16"/>
      <c r="V49" s="16" t="s">
        <v>100</v>
      </c>
      <c r="W49" s="16" t="s">
        <v>117</v>
      </c>
      <c r="X49" s="16" t="s">
        <v>148</v>
      </c>
      <c r="Y49" s="16" t="s">
        <v>141</v>
      </c>
      <c r="Z49" s="16" t="s">
        <v>149</v>
      </c>
      <c r="AA49" s="16">
        <f>IF(U49="",INDEX(Lookups!$J$3:$J$5,MATCH(E49,Lookups!$I$3:$I$5,0)),VALUE(LEFT(U49,FIND(" ",U49)-1)))</f>
        <v>18</v>
      </c>
      <c r="AB49" s="16">
        <f t="shared" si="5"/>
        <v>28</v>
      </c>
    </row>
    <row r="50" spans="1:28" x14ac:dyDescent="0.3">
      <c r="A50" s="16">
        <v>49</v>
      </c>
      <c r="B50" s="16" t="str">
        <f t="shared" si="3"/>
        <v>Joshi, Sanya</v>
      </c>
      <c r="C50" s="16" t="s">
        <v>25</v>
      </c>
      <c r="D50" s="16" t="str">
        <f>"Q"&amp;ROUNDUP(MATCH(C50,Lookups!$L$3:$L$14,0)/3,0)</f>
        <v>Q2</v>
      </c>
      <c r="E50" s="16" t="s">
        <v>41</v>
      </c>
      <c r="F50" s="16" t="s">
        <v>79</v>
      </c>
      <c r="G50" s="16" t="s">
        <v>80</v>
      </c>
      <c r="H50" s="17" t="s">
        <v>81</v>
      </c>
      <c r="I50" s="16" t="str">
        <f>INDEX(Lookups!$B$3:$B$6,MATCH(Y50,Lookups!$A$3:$A$6,0))</f>
        <v>India</v>
      </c>
      <c r="J50" s="16" t="str">
        <f>INDEX(Lookups!$C$3:$C$6,MATCH(Y50,Lookups!$A$3:$A$6,0))</f>
        <v>Asia</v>
      </c>
      <c r="K50" s="16" t="str">
        <f>INDEX(Lookups!$D$3:$D$6,MATCH(Y50,Lookups!$A$3:$A$6,0))</f>
        <v>INR</v>
      </c>
      <c r="L50" s="18">
        <v>30000</v>
      </c>
      <c r="M50" s="19">
        <f>ROUND(L50*INDEX(Lookups!$G$3:$G$5,MATCH(K50,Lookups!$F$3:$F$5,0)),0)</f>
        <v>360</v>
      </c>
      <c r="N50" s="20">
        <v>200</v>
      </c>
      <c r="O50" s="21">
        <v>0</v>
      </c>
      <c r="P50" s="19">
        <f t="shared" si="4"/>
        <v>72000</v>
      </c>
      <c r="Q50" s="16" t="str">
        <f>ROUND(AA50*Lookups!$O$3,0)&amp;" - "&amp;ROUND(AB50*Lookups!$O$3,0)&amp;" km/h"</f>
        <v>24 - 48 km/h</v>
      </c>
      <c r="R50" s="22">
        <f>IF(ISNUMBER(SEARCH("meters",W50)),ROUND(VALUE(SUBSTITUTE(LEFT(W50,FIND(" ",W50)-1),",",""))/Lookups!$O$4,0),ROUND(VALUE(LEFT(W50,FIND(" ",W50)-1))*Lookups!$O$3,0))</f>
        <v>48</v>
      </c>
      <c r="S50" s="16" t="s">
        <v>82</v>
      </c>
      <c r="T50" s="16" t="s">
        <v>83</v>
      </c>
      <c r="U50" s="16" t="s">
        <v>84</v>
      </c>
      <c r="V50" s="16" t="s">
        <v>85</v>
      </c>
      <c r="W50" s="16" t="s">
        <v>86</v>
      </c>
      <c r="X50" s="16" t="s">
        <v>87</v>
      </c>
      <c r="Y50" s="16" t="s">
        <v>88</v>
      </c>
      <c r="Z50" s="16" t="s">
        <v>89</v>
      </c>
      <c r="AA50" s="16">
        <f>IF(U50="",INDEX(Lookups!$J$3:$J$5,MATCH(E50,Lookups!$I$3:$I$5,0)),VALUE(LEFT(U50,FIND(" ",U50)-1)))</f>
        <v>15</v>
      </c>
      <c r="AB50" s="16">
        <f t="shared" si="5"/>
        <v>30</v>
      </c>
    </row>
    <row r="51" spans="1:28" x14ac:dyDescent="0.3">
      <c r="A51" s="16">
        <v>50</v>
      </c>
      <c r="B51" s="16" t="str">
        <f t="shared" si="3"/>
        <v>Joshi, Sanya</v>
      </c>
      <c r="C51" s="16" t="s">
        <v>25</v>
      </c>
      <c r="D51" s="16" t="str">
        <f>"Q"&amp;ROUNDUP(MATCH(C51,Lookups!$L$3:$L$14,0)/3,0)</f>
        <v>Q2</v>
      </c>
      <c r="E51" s="16" t="s">
        <v>42</v>
      </c>
      <c r="F51" s="16" t="s">
        <v>91</v>
      </c>
      <c r="G51" s="16" t="s">
        <v>80</v>
      </c>
      <c r="H51" s="17" t="s">
        <v>81</v>
      </c>
      <c r="I51" s="16" t="str">
        <f>INDEX(Lookups!$B$3:$B$6,MATCH(Y51,Lookups!$A$3:$A$6,0))</f>
        <v>India</v>
      </c>
      <c r="J51" s="16" t="str">
        <f>INDEX(Lookups!$C$3:$C$6,MATCH(Y51,Lookups!$A$3:$A$6,0))</f>
        <v>Asia</v>
      </c>
      <c r="K51" s="16" t="str">
        <f>INDEX(Lookups!$D$3:$D$6,MATCH(Y51,Lookups!$A$3:$A$6,0))</f>
        <v>INR</v>
      </c>
      <c r="L51" s="18">
        <v>25000</v>
      </c>
      <c r="M51" s="19">
        <f>ROUND(L51*INDEX(Lookups!$G$3:$G$5,MATCH(K51,Lookups!$F$3:$F$5,0)),0)</f>
        <v>300</v>
      </c>
      <c r="N51" s="20">
        <v>450</v>
      </c>
      <c r="O51" s="21">
        <v>0</v>
      </c>
      <c r="P51" s="19">
        <f t="shared" si="4"/>
        <v>135000</v>
      </c>
      <c r="Q51" s="16" t="str">
        <f>ROUND(AA51*Lookups!$O$3,0)&amp;" - "&amp;ROUND(AB51*Lookups!$O$3,0)&amp;" km/h"</f>
        <v>32 - 56 km/h</v>
      </c>
      <c r="R51" s="22">
        <f>IF(ISNUMBER(SEARCH("meters",W51)),ROUND(VALUE(SUBSTITUTE(LEFT(W51,FIND(" ",W51)-1),",",""))/Lookups!$O$4,0),ROUND(VALUE(LEFT(W51,FIND(" ",W51)-1))*Lookups!$O$3,0))</f>
        <v>64</v>
      </c>
      <c r="S51" s="16" t="s">
        <v>82</v>
      </c>
      <c r="T51" s="16" t="s">
        <v>83</v>
      </c>
      <c r="U51" s="16" t="s">
        <v>92</v>
      </c>
      <c r="V51" s="16" t="s">
        <v>93</v>
      </c>
      <c r="W51" s="16" t="s">
        <v>94</v>
      </c>
      <c r="X51" s="16" t="s">
        <v>95</v>
      </c>
      <c r="Y51" s="16" t="s">
        <v>88</v>
      </c>
      <c r="Z51" s="16" t="s">
        <v>96</v>
      </c>
      <c r="AA51" s="16">
        <f>IF(U51="",INDEX(Lookups!$J$3:$J$5,MATCH(E51,Lookups!$I$3:$I$5,0)),VALUE(LEFT(U51,FIND(" ",U51)-1)))</f>
        <v>20</v>
      </c>
      <c r="AB51" s="16">
        <f t="shared" si="5"/>
        <v>35</v>
      </c>
    </row>
    <row r="52" spans="1:28" x14ac:dyDescent="0.3">
      <c r="A52" s="16">
        <v>51</v>
      </c>
      <c r="B52" s="16" t="str">
        <f t="shared" si="3"/>
        <v>Joshi, Sanya</v>
      </c>
      <c r="C52" s="16" t="s">
        <v>25</v>
      </c>
      <c r="D52" s="16" t="str">
        <f>"Q"&amp;ROUNDUP(MATCH(C52,Lookups!$L$3:$L$14,0)/3,0)</f>
        <v>Q2</v>
      </c>
      <c r="E52" s="16" t="s">
        <v>43</v>
      </c>
      <c r="F52" s="16" t="s">
        <v>98</v>
      </c>
      <c r="G52" s="16" t="s">
        <v>80</v>
      </c>
      <c r="H52" s="17" t="s">
        <v>81</v>
      </c>
      <c r="I52" s="16" t="str">
        <f>INDEX(Lookups!$B$3:$B$6,MATCH(Y52,Lookups!$A$3:$A$6,0))</f>
        <v>India</v>
      </c>
      <c r="J52" s="16" t="str">
        <f>INDEX(Lookups!$C$3:$C$6,MATCH(Y52,Lookups!$A$3:$A$6,0))</f>
        <v>Asia</v>
      </c>
      <c r="K52" s="16" t="str">
        <f>INDEX(Lookups!$D$3:$D$6,MATCH(Y52,Lookups!$A$3:$A$6,0))</f>
        <v>INR</v>
      </c>
      <c r="L52" s="18">
        <v>22000</v>
      </c>
      <c r="M52" s="19">
        <f>ROUND(L52*INDEX(Lookups!$G$3:$G$5,MATCH(K52,Lookups!$F$3:$F$5,0)),0)</f>
        <v>264</v>
      </c>
      <c r="N52" s="20">
        <v>350</v>
      </c>
      <c r="O52" s="21">
        <v>0</v>
      </c>
      <c r="P52" s="19">
        <f t="shared" si="4"/>
        <v>92400</v>
      </c>
      <c r="Q52" s="16" t="str">
        <f>ROUND(AA52*Lookups!$O$3,0)&amp;" - "&amp;ROUND(AB52*Lookups!$O$3,0)&amp;" km/h"</f>
        <v>29 - 45 km/h</v>
      </c>
      <c r="R52" s="22">
        <f>IF(ISNUMBER(SEARCH("meters",W52)),ROUND(VALUE(SUBSTITUTE(LEFT(W52,FIND(" ",W52)-1),",",""))/Lookups!$O$4,0),ROUND(VALUE(LEFT(W52,FIND(" ",W52)-1))*Lookups!$O$3,0))</f>
        <v>40</v>
      </c>
      <c r="S52" s="16" t="s">
        <v>82</v>
      </c>
      <c r="T52" s="16" t="s">
        <v>83</v>
      </c>
      <c r="U52" s="16" t="s">
        <v>99</v>
      </c>
      <c r="V52" s="16" t="s">
        <v>100</v>
      </c>
      <c r="W52" s="16" t="s">
        <v>101</v>
      </c>
      <c r="X52" s="16" t="s">
        <v>102</v>
      </c>
      <c r="Y52" s="16" t="s">
        <v>88</v>
      </c>
      <c r="Z52" s="16" t="s">
        <v>103</v>
      </c>
      <c r="AA52" s="16">
        <f>IF(U52="",INDEX(Lookups!$J$3:$J$5,MATCH(E52,Lookups!$I$3:$I$5,0)),VALUE(LEFT(U52,FIND(" ",U52)-1)))</f>
        <v>18</v>
      </c>
      <c r="AB52" s="16">
        <f t="shared" si="5"/>
        <v>28</v>
      </c>
    </row>
    <row r="53" spans="1:28" x14ac:dyDescent="0.3">
      <c r="A53" s="16">
        <v>52</v>
      </c>
      <c r="B53" s="16" t="str">
        <f t="shared" si="3"/>
        <v>Liu, Fang</v>
      </c>
      <c r="C53" s="16" t="s">
        <v>25</v>
      </c>
      <c r="D53" s="16" t="str">
        <f>"Q"&amp;ROUNDUP(MATCH(C53,Lookups!$L$3:$L$14,0)/3,0)</f>
        <v>Q2</v>
      </c>
      <c r="E53" s="16" t="s">
        <v>41</v>
      </c>
      <c r="F53" s="16" t="s">
        <v>105</v>
      </c>
      <c r="G53" s="16" t="s">
        <v>106</v>
      </c>
      <c r="H53" s="17" t="s">
        <v>107</v>
      </c>
      <c r="I53" s="16" t="str">
        <f>INDEX(Lookups!$B$3:$B$6,MATCH(Y53,Lookups!$A$3:$A$6,0))</f>
        <v>China</v>
      </c>
      <c r="J53" s="16" t="str">
        <f>INDEX(Lookups!$C$3:$C$6,MATCH(Y53,Lookups!$A$3:$A$6,0))</f>
        <v>Asia</v>
      </c>
      <c r="K53" s="16" t="str">
        <f>INDEX(Lookups!$D$3:$D$6,MATCH(Y53,Lookups!$A$3:$A$6,0))</f>
        <v>CNY</v>
      </c>
      <c r="L53" s="24">
        <v>5000</v>
      </c>
      <c r="M53" s="19">
        <f>ROUND(L53*INDEX(Lookups!$G$3:$G$5,MATCH(K53,Lookups!$F$3:$F$5,0)),0)</f>
        <v>700</v>
      </c>
      <c r="N53" s="20">
        <v>700</v>
      </c>
      <c r="O53" s="21">
        <v>0</v>
      </c>
      <c r="P53" s="19">
        <f t="shared" si="4"/>
        <v>490000</v>
      </c>
      <c r="Q53" s="16" t="str">
        <f>ROUND(AA53*Lookups!$O$3,0)&amp;" - "&amp;ROUND(AB53*Lookups!$O$3,0)&amp;" km/h"</f>
        <v>24 - 48 km/h</v>
      </c>
      <c r="R53" s="22">
        <f>IF(ISNUMBER(SEARCH("meters",W53)),ROUND(VALUE(SUBSTITUTE(LEFT(W53,FIND(" ",W53)-1),",",""))/Lookups!$O$4,0),ROUND(VALUE(LEFT(W53,FIND(" ",W53)-1))*Lookups!$O$3,0))</f>
        <v>48</v>
      </c>
      <c r="S53" s="16" t="s">
        <v>108</v>
      </c>
      <c r="T53" s="16" t="s">
        <v>109</v>
      </c>
      <c r="U53" s="16" t="s">
        <v>84</v>
      </c>
      <c r="V53" s="16" t="s">
        <v>85</v>
      </c>
      <c r="W53" s="16" t="s">
        <v>125</v>
      </c>
      <c r="X53" s="16" t="s">
        <v>110</v>
      </c>
      <c r="Y53" s="16" t="s">
        <v>111</v>
      </c>
      <c r="Z53" s="16" t="s">
        <v>112</v>
      </c>
      <c r="AA53" s="16">
        <f>IF(U53="",INDEX(Lookups!$J$3:$J$5,MATCH(E53,Lookups!$I$3:$I$5,0)),VALUE(LEFT(U53,FIND(" ",U53)-1)))</f>
        <v>15</v>
      </c>
      <c r="AB53" s="16">
        <f t="shared" si="5"/>
        <v>30</v>
      </c>
    </row>
    <row r="54" spans="1:28" x14ac:dyDescent="0.3">
      <c r="A54" s="16">
        <v>53</v>
      </c>
      <c r="B54" s="16" t="str">
        <f t="shared" si="3"/>
        <v>Liu, Fang</v>
      </c>
      <c r="C54" s="16" t="s">
        <v>25</v>
      </c>
      <c r="D54" s="16" t="str">
        <f>"Q"&amp;ROUNDUP(MATCH(C54,Lookups!$L$3:$L$14,0)/3,0)</f>
        <v>Q2</v>
      </c>
      <c r="E54" s="16" t="s">
        <v>42</v>
      </c>
      <c r="F54" s="16" t="s">
        <v>113</v>
      </c>
      <c r="G54" s="16" t="s">
        <v>106</v>
      </c>
      <c r="H54" s="17" t="s">
        <v>107</v>
      </c>
      <c r="I54" s="16" t="str">
        <f>INDEX(Lookups!$B$3:$B$6,MATCH(Y54,Lookups!$A$3:$A$6,0))</f>
        <v>China</v>
      </c>
      <c r="J54" s="16" t="str">
        <f>INDEX(Lookups!$C$3:$C$6,MATCH(Y54,Lookups!$A$3:$A$6,0))</f>
        <v>Asia</v>
      </c>
      <c r="K54" s="16" t="str">
        <f>INDEX(Lookups!$D$3:$D$6,MATCH(Y54,Lookups!$A$3:$A$6,0))</f>
        <v>CNY</v>
      </c>
      <c r="L54" s="24">
        <v>3500</v>
      </c>
      <c r="M54" s="19">
        <f>ROUND(L54*INDEX(Lookups!$G$3:$G$5,MATCH(K54,Lookups!$F$3:$F$5,0)),0)</f>
        <v>490</v>
      </c>
      <c r="N54" s="20">
        <v>1600</v>
      </c>
      <c r="O54" s="21">
        <v>0</v>
      </c>
      <c r="P54" s="19">
        <f t="shared" si="4"/>
        <v>784000</v>
      </c>
      <c r="Q54" s="16" t="str">
        <f>ROUND(AA54*Lookups!$O$3,0)&amp;" - "&amp;ROUND(AB54*Lookups!$O$3,0)&amp;" km/h"</f>
        <v>32 - 56 km/h</v>
      </c>
      <c r="R54" s="22">
        <f>IF(ISNUMBER(SEARCH("meters",W54)),ROUND(VALUE(SUBSTITUTE(LEFT(W54,FIND(" ",W54)-1),",",""))/Lookups!$O$4,0),ROUND(VALUE(LEFT(W54,FIND(" ",W54)-1))*Lookups!$O$3,0))</f>
        <v>64</v>
      </c>
      <c r="S54" s="16" t="s">
        <v>108</v>
      </c>
      <c r="T54" s="16" t="s">
        <v>109</v>
      </c>
      <c r="U54" s="16" t="s">
        <v>92</v>
      </c>
      <c r="V54" s="16" t="s">
        <v>93</v>
      </c>
      <c r="W54" s="16" t="s">
        <v>94</v>
      </c>
      <c r="X54" s="16" t="s">
        <v>114</v>
      </c>
      <c r="Y54" s="16" t="s">
        <v>111</v>
      </c>
      <c r="Z54" s="16" t="s">
        <v>115</v>
      </c>
      <c r="AA54" s="16">
        <f>IF(U54="",INDEX(Lookups!$J$3:$J$5,MATCH(E54,Lookups!$I$3:$I$5,0)),VALUE(LEFT(U54,FIND(" ",U54)-1)))</f>
        <v>20</v>
      </c>
      <c r="AB54" s="16">
        <f t="shared" si="5"/>
        <v>35</v>
      </c>
    </row>
    <row r="55" spans="1:28" x14ac:dyDescent="0.3">
      <c r="A55" s="16">
        <v>54</v>
      </c>
      <c r="B55" s="16" t="str">
        <f t="shared" si="3"/>
        <v>Liu, Fang</v>
      </c>
      <c r="C55" s="16" t="s">
        <v>25</v>
      </c>
      <c r="D55" s="16" t="str">
        <f>"Q"&amp;ROUNDUP(MATCH(C55,Lookups!$L$3:$L$14,0)/3,0)</f>
        <v>Q2</v>
      </c>
      <c r="E55" s="16" t="s">
        <v>43</v>
      </c>
      <c r="F55" s="16" t="s">
        <v>116</v>
      </c>
      <c r="G55" s="16" t="s">
        <v>106</v>
      </c>
      <c r="H55" s="17" t="s">
        <v>107</v>
      </c>
      <c r="I55" s="16" t="str">
        <f>INDEX(Lookups!$B$3:$B$6,MATCH(Y55,Lookups!$A$3:$A$6,0))</f>
        <v>China</v>
      </c>
      <c r="J55" s="16" t="str">
        <f>INDEX(Lookups!$C$3:$C$6,MATCH(Y55,Lookups!$A$3:$A$6,0))</f>
        <v>Asia</v>
      </c>
      <c r="K55" s="16" t="str">
        <f>INDEX(Lookups!$D$3:$D$6,MATCH(Y55,Lookups!$A$3:$A$6,0))</f>
        <v>CNY</v>
      </c>
      <c r="L55" s="24">
        <v>4200</v>
      </c>
      <c r="M55" s="19">
        <f>ROUND(L55*INDEX(Lookups!$G$3:$G$5,MATCH(K55,Lookups!$F$3:$F$5,0)),0)</f>
        <v>588</v>
      </c>
      <c r="N55" s="20">
        <v>1000</v>
      </c>
      <c r="O55" s="21">
        <v>0</v>
      </c>
      <c r="P55" s="19">
        <f t="shared" si="4"/>
        <v>588000</v>
      </c>
      <c r="Q55" s="16" t="str">
        <f>ROUND(AA55*Lookups!$O$3,0)&amp;" - "&amp;ROUND(AB55*Lookups!$O$3,0)&amp;" km/h"</f>
        <v>29 - 45 km/h</v>
      </c>
      <c r="R55" s="22">
        <f>IF(ISNUMBER(SEARCH("meters",W55)),ROUND(VALUE(SUBSTITUTE(LEFT(W55,FIND(" ",W55)-1),",",""))/Lookups!$O$4,0),ROUND(VALUE(LEFT(W55,FIND(" ",W55)-1))*Lookups!$O$3,0))</f>
        <v>40</v>
      </c>
      <c r="S55" s="16" t="s">
        <v>108</v>
      </c>
      <c r="T55" s="16" t="s">
        <v>109</v>
      </c>
      <c r="U55" s="16" t="s">
        <v>99</v>
      </c>
      <c r="V55" s="16" t="s">
        <v>100</v>
      </c>
      <c r="W55" s="16" t="s">
        <v>101</v>
      </c>
      <c r="X55" s="16" t="s">
        <v>118</v>
      </c>
      <c r="Y55" s="16" t="s">
        <v>111</v>
      </c>
      <c r="Z55" s="16" t="s">
        <v>119</v>
      </c>
      <c r="AA55" s="16">
        <f>IF(U55="",INDEX(Lookups!$J$3:$J$5,MATCH(E55,Lookups!$I$3:$I$5,0)),VALUE(LEFT(U55,FIND(" ",U55)-1)))</f>
        <v>18</v>
      </c>
      <c r="AB55" s="16">
        <f t="shared" si="5"/>
        <v>28</v>
      </c>
    </row>
    <row r="56" spans="1:28" x14ac:dyDescent="0.3">
      <c r="A56" s="16">
        <v>55</v>
      </c>
      <c r="B56" s="16" t="str">
        <f t="shared" si="3"/>
        <v>Fischer, Jonas</v>
      </c>
      <c r="C56" s="16" t="s">
        <v>25</v>
      </c>
      <c r="D56" s="16" t="str">
        <f>"Q"&amp;ROUNDUP(MATCH(C56,Lookups!$L$3:$L$14,0)/3,0)</f>
        <v>Q2</v>
      </c>
      <c r="E56" s="16" t="s">
        <v>41</v>
      </c>
      <c r="F56" s="16" t="s">
        <v>120</v>
      </c>
      <c r="G56" s="16" t="s">
        <v>121</v>
      </c>
      <c r="H56" s="17" t="s">
        <v>122</v>
      </c>
      <c r="I56" s="16" t="str">
        <f>INDEX(Lookups!$B$3:$B$6,MATCH(Y56,Lookups!$A$3:$A$6,0))</f>
        <v>Germany</v>
      </c>
      <c r="J56" s="16" t="str">
        <f>INDEX(Lookups!$C$3:$C$6,MATCH(Y56,Lookups!$A$3:$A$6,0))</f>
        <v>Europe</v>
      </c>
      <c r="K56" s="16" t="str">
        <f>INDEX(Lookups!$D$3:$D$6,MATCH(Y56,Lookups!$A$3:$A$6,0))</f>
        <v>EUR</v>
      </c>
      <c r="L56" s="25">
        <v>1000</v>
      </c>
      <c r="M56" s="19">
        <f>ROUND(L56*INDEX(Lookups!$G$3:$G$5,MATCH(K56,Lookups!$F$3:$F$5,0)),0)</f>
        <v>1080</v>
      </c>
      <c r="N56" s="20">
        <v>180</v>
      </c>
      <c r="O56" s="21">
        <v>0</v>
      </c>
      <c r="P56" s="19">
        <f t="shared" si="4"/>
        <v>194400</v>
      </c>
      <c r="Q56" s="16" t="str">
        <f>ROUND(AA56*Lookups!$O$3,0)&amp;" - "&amp;ROUND(AB56*Lookups!$O$3,0)&amp;" km/h"</f>
        <v>24 - 48 km/h</v>
      </c>
      <c r="R56" s="22">
        <f>IF(ISNUMBER(SEARCH("meters",W56)),ROUND(VALUE(SUBSTITUTE(LEFT(W56,FIND(" ",W56)-1),",",""))/Lookups!$O$4,0),ROUND(VALUE(LEFT(W56,FIND(" ",W56)-1))*Lookups!$O$3,0))</f>
        <v>48</v>
      </c>
      <c r="S56" s="16" t="s">
        <v>123</v>
      </c>
      <c r="T56" s="16" t="s">
        <v>124</v>
      </c>
      <c r="U56" s="16" t="s">
        <v>84</v>
      </c>
      <c r="V56" s="16" t="s">
        <v>85</v>
      </c>
      <c r="W56" s="16" t="s">
        <v>86</v>
      </c>
      <c r="X56" s="16" t="s">
        <v>126</v>
      </c>
      <c r="Y56" s="16" t="s">
        <v>127</v>
      </c>
      <c r="Z56" s="16" t="s">
        <v>128</v>
      </c>
      <c r="AA56" s="16">
        <f>IF(U56="",INDEX(Lookups!$J$3:$J$5,MATCH(E56,Lookups!$I$3:$I$5,0)),VALUE(LEFT(U56,FIND(" ",U56)-1)))</f>
        <v>15</v>
      </c>
      <c r="AB56" s="16">
        <f t="shared" si="5"/>
        <v>30</v>
      </c>
    </row>
    <row r="57" spans="1:28" x14ac:dyDescent="0.3">
      <c r="A57" s="16">
        <v>56</v>
      </c>
      <c r="B57" s="16" t="str">
        <f t="shared" si="3"/>
        <v>Fischer, Jonas</v>
      </c>
      <c r="C57" s="16" t="s">
        <v>25</v>
      </c>
      <c r="D57" s="16" t="str">
        <f>"Q"&amp;ROUNDUP(MATCH(C57,Lookups!$L$3:$L$14,0)/3,0)</f>
        <v>Q2</v>
      </c>
      <c r="E57" s="16" t="s">
        <v>42</v>
      </c>
      <c r="F57" s="16" t="s">
        <v>129</v>
      </c>
      <c r="G57" s="16" t="s">
        <v>121</v>
      </c>
      <c r="H57" s="17" t="s">
        <v>122</v>
      </c>
      <c r="I57" s="16" t="str">
        <f>INDEX(Lookups!$B$3:$B$6,MATCH(Y57,Lookups!$A$3:$A$6,0))</f>
        <v>Germany</v>
      </c>
      <c r="J57" s="16" t="str">
        <f>INDEX(Lookups!$C$3:$C$6,MATCH(Y57,Lookups!$A$3:$A$6,0))</f>
        <v>Europe</v>
      </c>
      <c r="K57" s="16" t="str">
        <f>INDEX(Lookups!$D$3:$D$6,MATCH(Y57,Lookups!$A$3:$A$6,0))</f>
        <v>EUR</v>
      </c>
      <c r="L57" s="25">
        <v>800</v>
      </c>
      <c r="M57" s="19">
        <f>ROUND(L57*INDEX(Lookups!$G$3:$G$5,MATCH(K57,Lookups!$F$3:$F$5,0)),0)</f>
        <v>864</v>
      </c>
      <c r="N57" s="20">
        <v>320</v>
      </c>
      <c r="O57" s="21">
        <v>0</v>
      </c>
      <c r="P57" s="19">
        <f t="shared" si="4"/>
        <v>276480</v>
      </c>
      <c r="Q57" s="16" t="str">
        <f>ROUND(AA57*Lookups!$O$3,0)&amp;" - "&amp;ROUND(AB57*Lookups!$O$3,0)&amp;" km/h"</f>
        <v>32 - 56 km/h</v>
      </c>
      <c r="R57" s="22">
        <f>IF(ISNUMBER(SEARCH("meters",W57)),ROUND(VALUE(SUBSTITUTE(LEFT(W57,FIND(" ",W57)-1),",",""))/Lookups!$O$4,0),ROUND(VALUE(LEFT(W57,FIND(" ",W57)-1))*Lookups!$O$3,0))</f>
        <v>64</v>
      </c>
      <c r="S57" s="16" t="s">
        <v>123</v>
      </c>
      <c r="T57" s="16" t="s">
        <v>124</v>
      </c>
      <c r="U57" s="16" t="s">
        <v>92</v>
      </c>
      <c r="V57" s="16" t="s">
        <v>93</v>
      </c>
      <c r="W57" s="16" t="s">
        <v>94</v>
      </c>
      <c r="X57" s="16" t="s">
        <v>130</v>
      </c>
      <c r="Y57" s="16" t="s">
        <v>127</v>
      </c>
      <c r="Z57" s="16" t="s">
        <v>131</v>
      </c>
      <c r="AA57" s="16">
        <f>IF(U57="",INDEX(Lookups!$J$3:$J$5,MATCH(E57,Lookups!$I$3:$I$5,0)),VALUE(LEFT(U57,FIND(" ",U57)-1)))</f>
        <v>20</v>
      </c>
      <c r="AB57" s="16">
        <f t="shared" si="5"/>
        <v>35</v>
      </c>
    </row>
    <row r="58" spans="1:28" x14ac:dyDescent="0.3">
      <c r="A58" s="16">
        <v>57</v>
      </c>
      <c r="B58" s="16" t="str">
        <f t="shared" si="3"/>
        <v>Fischer, Jonas</v>
      </c>
      <c r="C58" s="16" t="s">
        <v>25</v>
      </c>
      <c r="D58" s="16" t="str">
        <f>"Q"&amp;ROUNDUP(MATCH(C58,Lookups!$L$3:$L$14,0)/3,0)</f>
        <v>Q2</v>
      </c>
      <c r="E58" s="16" t="s">
        <v>43</v>
      </c>
      <c r="F58" s="16" t="s">
        <v>132</v>
      </c>
      <c r="G58" s="16" t="s">
        <v>121</v>
      </c>
      <c r="H58" s="17" t="s">
        <v>122</v>
      </c>
      <c r="I58" s="16" t="str">
        <f>INDEX(Lookups!$B$3:$B$6,MATCH(Y58,Lookups!$A$3:$A$6,0))</f>
        <v>Germany</v>
      </c>
      <c r="J58" s="16" t="str">
        <f>INDEX(Lookups!$C$3:$C$6,MATCH(Y58,Lookups!$A$3:$A$6,0))</f>
        <v>Europe</v>
      </c>
      <c r="K58" s="16" t="str">
        <f>INDEX(Lookups!$D$3:$D$6,MATCH(Y58,Lookups!$A$3:$A$6,0))</f>
        <v>EUR</v>
      </c>
      <c r="L58" s="25">
        <v>950</v>
      </c>
      <c r="M58" s="19">
        <f>ROUND(L58*INDEX(Lookups!$G$3:$G$5,MATCH(K58,Lookups!$F$3:$F$5,0)),0)</f>
        <v>1026</v>
      </c>
      <c r="N58" s="20">
        <v>220</v>
      </c>
      <c r="O58" s="21">
        <v>0</v>
      </c>
      <c r="P58" s="19">
        <f t="shared" si="4"/>
        <v>225720</v>
      </c>
      <c r="Q58" s="16" t="str">
        <f>ROUND(AA58*Lookups!$O$3,0)&amp;" - "&amp;ROUND(AB58*Lookups!$O$3,0)&amp;" km/h"</f>
        <v>29 - 45 km/h</v>
      </c>
      <c r="R58" s="22">
        <f>IF(ISNUMBER(SEARCH("meters",W58)),ROUND(VALUE(SUBSTITUTE(LEFT(W58,FIND(" ",W58)-1),",",""))/Lookups!$O$4,0),ROUND(VALUE(LEFT(W58,FIND(" ",W58)-1))*Lookups!$O$3,0))</f>
        <v>40</v>
      </c>
      <c r="S58" s="16" t="s">
        <v>123</v>
      </c>
      <c r="T58" s="16" t="s">
        <v>124</v>
      </c>
      <c r="U58" s="16" t="s">
        <v>99</v>
      </c>
      <c r="V58" s="16" t="s">
        <v>100</v>
      </c>
      <c r="W58" s="16" t="s">
        <v>101</v>
      </c>
      <c r="X58" s="16" t="s">
        <v>133</v>
      </c>
      <c r="Y58" s="16" t="s">
        <v>127</v>
      </c>
      <c r="Z58" s="16" t="s">
        <v>134</v>
      </c>
      <c r="AA58" s="16">
        <f>IF(U58="",INDEX(Lookups!$J$3:$J$5,MATCH(E58,Lookups!$I$3:$I$5,0)),VALUE(LEFT(U58,FIND(" ",U58)-1)))</f>
        <v>18</v>
      </c>
      <c r="AB58" s="16">
        <f t="shared" si="5"/>
        <v>28</v>
      </c>
    </row>
    <row r="59" spans="1:28" x14ac:dyDescent="0.3">
      <c r="A59" s="16">
        <v>58</v>
      </c>
      <c r="B59" s="16" t="str">
        <f t="shared" si="3"/>
        <v>Bernard, Théo</v>
      </c>
      <c r="C59" s="16" t="s">
        <v>25</v>
      </c>
      <c r="D59" s="16" t="str">
        <f>"Q"&amp;ROUNDUP(MATCH(C59,Lookups!$L$3:$L$14,0)/3,0)</f>
        <v>Q2</v>
      </c>
      <c r="E59" s="16" t="s">
        <v>41</v>
      </c>
      <c r="F59" s="16" t="s">
        <v>135</v>
      </c>
      <c r="G59" s="16" t="s">
        <v>136</v>
      </c>
      <c r="H59" s="17" t="s">
        <v>137</v>
      </c>
      <c r="I59" s="16" t="str">
        <f>INDEX(Lookups!$B$3:$B$6,MATCH(Y59,Lookups!$A$3:$A$6,0))</f>
        <v>France</v>
      </c>
      <c r="J59" s="16" t="str">
        <f>INDEX(Lookups!$C$3:$C$6,MATCH(Y59,Lookups!$A$3:$A$6,0))</f>
        <v>Europe</v>
      </c>
      <c r="K59" s="16" t="str">
        <f>INDEX(Lookups!$D$3:$D$6,MATCH(Y59,Lookups!$A$3:$A$6,0))</f>
        <v>EUR</v>
      </c>
      <c r="L59" s="25">
        <v>1100</v>
      </c>
      <c r="M59" s="19">
        <f>ROUND(L59*INDEX(Lookups!$G$3:$G$5,MATCH(K59,Lookups!$F$3:$F$5,0)),0)</f>
        <v>1188</v>
      </c>
      <c r="N59" s="20">
        <v>140</v>
      </c>
      <c r="O59" s="21">
        <v>0</v>
      </c>
      <c r="P59" s="19">
        <f t="shared" si="4"/>
        <v>166320</v>
      </c>
      <c r="Q59" s="16" t="str">
        <f>ROUND(AA59*Lookups!$O$3,0)&amp;" - "&amp;ROUND(AB59*Lookups!$O$3,0)&amp;" km/h"</f>
        <v>24 - 48 km/h</v>
      </c>
      <c r="R59" s="22">
        <f>IF(ISNUMBER(SEARCH("meters",W59)),ROUND(VALUE(SUBSTITUTE(LEFT(W59,FIND(" ",W59)-1),",",""))/Lookups!$O$4,0),ROUND(VALUE(LEFT(W59,FIND(" ",W59)-1))*Lookups!$O$3,0))</f>
        <v>48</v>
      </c>
      <c r="S59" s="16" t="s">
        <v>138</v>
      </c>
      <c r="T59" s="16" t="s">
        <v>139</v>
      </c>
      <c r="U59" s="16" t="s">
        <v>84</v>
      </c>
      <c r="V59" s="16" t="s">
        <v>85</v>
      </c>
      <c r="W59" s="16" t="s">
        <v>86</v>
      </c>
      <c r="X59" s="16" t="s">
        <v>140</v>
      </c>
      <c r="Y59" s="16" t="s">
        <v>141</v>
      </c>
      <c r="Z59" s="16" t="s">
        <v>142</v>
      </c>
      <c r="AA59" s="16">
        <f>IF(U59="",INDEX(Lookups!$J$3:$J$5,MATCH(E59,Lookups!$I$3:$I$5,0)),VALUE(LEFT(U59,FIND(" ",U59)-1)))</f>
        <v>15</v>
      </c>
      <c r="AB59" s="16">
        <f t="shared" si="5"/>
        <v>30</v>
      </c>
    </row>
    <row r="60" spans="1:28" x14ac:dyDescent="0.3">
      <c r="A60" s="16">
        <v>59</v>
      </c>
      <c r="B60" s="16" t="str">
        <f t="shared" si="3"/>
        <v>Bernard, Théo</v>
      </c>
      <c r="C60" s="16" t="s">
        <v>25</v>
      </c>
      <c r="D60" s="16" t="str">
        <f>"Q"&amp;ROUNDUP(MATCH(C60,Lookups!$L$3:$L$14,0)/3,0)</f>
        <v>Q2</v>
      </c>
      <c r="E60" s="16" t="s">
        <v>42</v>
      </c>
      <c r="F60" s="16" t="s">
        <v>143</v>
      </c>
      <c r="G60" s="16" t="s">
        <v>136</v>
      </c>
      <c r="H60" s="17" t="s">
        <v>137</v>
      </c>
      <c r="I60" s="16" t="str">
        <f>INDEX(Lookups!$B$3:$B$6,MATCH(Y60,Lookups!$A$3:$A$6,0))</f>
        <v>France</v>
      </c>
      <c r="J60" s="16" t="str">
        <f>INDEX(Lookups!$C$3:$C$6,MATCH(Y60,Lookups!$A$3:$A$6,0))</f>
        <v>Europe</v>
      </c>
      <c r="K60" s="16" t="str">
        <f>INDEX(Lookups!$D$3:$D$6,MATCH(Y60,Lookups!$A$3:$A$6,0))</f>
        <v>EUR</v>
      </c>
      <c r="L60" s="25">
        <v>900</v>
      </c>
      <c r="M60" s="19">
        <f>ROUND(L60*INDEX(Lookups!$G$3:$G$5,MATCH(K60,Lookups!$F$3:$F$5,0)),0)</f>
        <v>972</v>
      </c>
      <c r="N60" s="20">
        <v>300</v>
      </c>
      <c r="O60" s="21">
        <v>0</v>
      </c>
      <c r="P60" s="19">
        <f t="shared" si="4"/>
        <v>291600</v>
      </c>
      <c r="Q60" s="16" t="str">
        <f>ROUND(AA60*Lookups!$O$3,0)&amp;" - "&amp;ROUND(AB60*Lookups!$O$3,0)&amp;" km/h"</f>
        <v>32 - 56 km/h</v>
      </c>
      <c r="R60" s="22">
        <f>IF(ISNUMBER(SEARCH("meters",W60)),ROUND(VALUE(SUBSTITUTE(LEFT(W60,FIND(" ",W60)-1),",",""))/Lookups!$O$4,0),ROUND(VALUE(LEFT(W60,FIND(" ",W60)-1))*Lookups!$O$3,0))</f>
        <v>64</v>
      </c>
      <c r="S60" s="16" t="s">
        <v>138</v>
      </c>
      <c r="T60" s="16" t="s">
        <v>139</v>
      </c>
      <c r="U60" s="16" t="s">
        <v>92</v>
      </c>
      <c r="V60" s="16" t="s">
        <v>93</v>
      </c>
      <c r="W60" s="16" t="s">
        <v>144</v>
      </c>
      <c r="X60" s="16" t="s">
        <v>145</v>
      </c>
      <c r="Y60" s="16" t="s">
        <v>141</v>
      </c>
      <c r="Z60" s="16" t="s">
        <v>146</v>
      </c>
      <c r="AA60" s="16">
        <f>IF(U60="",INDEX(Lookups!$J$3:$J$5,MATCH(E60,Lookups!$I$3:$I$5,0)),VALUE(LEFT(U60,FIND(" ",U60)-1)))</f>
        <v>20</v>
      </c>
      <c r="AB60" s="16">
        <f t="shared" si="5"/>
        <v>35</v>
      </c>
    </row>
    <row r="61" spans="1:28" x14ac:dyDescent="0.3">
      <c r="A61" s="16">
        <v>60</v>
      </c>
      <c r="B61" s="16" t="str">
        <f t="shared" si="3"/>
        <v>Bernard, Théo</v>
      </c>
      <c r="C61" s="16" t="s">
        <v>25</v>
      </c>
      <c r="D61" s="16" t="str">
        <f>"Q"&amp;ROUNDUP(MATCH(C61,Lookups!$L$3:$L$14,0)/3,0)</f>
        <v>Q2</v>
      </c>
      <c r="E61" s="16" t="s">
        <v>43</v>
      </c>
      <c r="F61" s="16" t="s">
        <v>147</v>
      </c>
      <c r="G61" s="16" t="s">
        <v>136</v>
      </c>
      <c r="H61" s="17" t="s">
        <v>137</v>
      </c>
      <c r="I61" s="16" t="str">
        <f>INDEX(Lookups!$B$3:$B$6,MATCH(Y61,Lookups!$A$3:$A$6,0))</f>
        <v>France</v>
      </c>
      <c r="J61" s="16" t="str">
        <f>INDEX(Lookups!$C$3:$C$6,MATCH(Y61,Lookups!$A$3:$A$6,0))</f>
        <v>Europe</v>
      </c>
      <c r="K61" s="16" t="str">
        <f>INDEX(Lookups!$D$3:$D$6,MATCH(Y61,Lookups!$A$3:$A$6,0))</f>
        <v>EUR</v>
      </c>
      <c r="L61" s="25">
        <v>1050</v>
      </c>
      <c r="M61" s="19">
        <f>ROUND(L61*INDEX(Lookups!$G$3:$G$5,MATCH(K61,Lookups!$F$3:$F$5,0)),0)</f>
        <v>1134</v>
      </c>
      <c r="N61" s="20">
        <v>280</v>
      </c>
      <c r="O61" s="21">
        <v>0</v>
      </c>
      <c r="P61" s="19">
        <f t="shared" si="4"/>
        <v>317520</v>
      </c>
      <c r="Q61" s="16" t="str">
        <f>ROUND(AA61*Lookups!$O$3,0)&amp;" - "&amp;ROUND(AB61*Lookups!$O$3,0)&amp;" km/h"</f>
        <v>29 - 45 km/h</v>
      </c>
      <c r="R61" s="22">
        <f>IF(ISNUMBER(SEARCH("meters",W61)),ROUND(VALUE(SUBSTITUTE(LEFT(W61,FIND(" ",W61)-1),",",""))/Lookups!$O$4,0),ROUND(VALUE(LEFT(W61,FIND(" ",W61)-1))*Lookups!$O$3,0))</f>
        <v>40</v>
      </c>
      <c r="S61" s="16" t="s">
        <v>138</v>
      </c>
      <c r="T61" s="16" t="s">
        <v>139</v>
      </c>
      <c r="U61" s="16" t="s">
        <v>99</v>
      </c>
      <c r="V61" s="16" t="s">
        <v>100</v>
      </c>
      <c r="W61" s="16" t="s">
        <v>101</v>
      </c>
      <c r="X61" s="16" t="s">
        <v>148</v>
      </c>
      <c r="Y61" s="16" t="s">
        <v>141</v>
      </c>
      <c r="Z61" s="16" t="s">
        <v>149</v>
      </c>
      <c r="AA61" s="16">
        <f>IF(U61="",INDEX(Lookups!$J$3:$J$5,MATCH(E61,Lookups!$I$3:$I$5,0)),VALUE(LEFT(U61,FIND(" ",U61)-1)))</f>
        <v>18</v>
      </c>
      <c r="AB61" s="16">
        <f t="shared" si="5"/>
        <v>28</v>
      </c>
    </row>
    <row r="62" spans="1:28" x14ac:dyDescent="0.3">
      <c r="A62" s="16">
        <v>61</v>
      </c>
      <c r="B62" s="16" t="str">
        <f t="shared" si="3"/>
        <v>Joshi, Sanya</v>
      </c>
      <c r="C62" s="16" t="s">
        <v>26</v>
      </c>
      <c r="D62" s="16" t="str">
        <f>"Q"&amp;ROUNDUP(MATCH(C62,Lookups!$L$3:$L$14,0)/3,0)</f>
        <v>Q2</v>
      </c>
      <c r="E62" s="16" t="s">
        <v>41</v>
      </c>
      <c r="F62" s="16" t="s">
        <v>79</v>
      </c>
      <c r="G62" s="16" t="s">
        <v>80</v>
      </c>
      <c r="H62" s="17" t="s">
        <v>81</v>
      </c>
      <c r="I62" s="16" t="str">
        <f>INDEX(Lookups!$B$3:$B$6,MATCH(Y62,Lookups!$A$3:$A$6,0))</f>
        <v>India</v>
      </c>
      <c r="J62" s="16" t="str">
        <f>INDEX(Lookups!$C$3:$C$6,MATCH(Y62,Lookups!$A$3:$A$6,0))</f>
        <v>Asia</v>
      </c>
      <c r="K62" s="16" t="str">
        <f>INDEX(Lookups!$D$3:$D$6,MATCH(Y62,Lookups!$A$3:$A$6,0))</f>
        <v>INR</v>
      </c>
      <c r="L62" s="18">
        <v>30000</v>
      </c>
      <c r="M62" s="19">
        <f>ROUND(L62*INDEX(Lookups!$G$3:$G$5,MATCH(K62,Lookups!$F$3:$F$5,0)),0)</f>
        <v>360</v>
      </c>
      <c r="N62" s="20">
        <v>250</v>
      </c>
      <c r="O62" s="21">
        <v>0</v>
      </c>
      <c r="P62" s="19">
        <f t="shared" si="4"/>
        <v>90000</v>
      </c>
      <c r="Q62" s="16" t="str">
        <f>ROUND(AA62*Lookups!$O$3,0)&amp;" - "&amp;ROUND(AB62*Lookups!$O$3,0)&amp;" km/h"</f>
        <v>24 - 48 km/h</v>
      </c>
      <c r="R62" s="22">
        <f>IF(ISNUMBER(SEARCH("meters",W62)),ROUND(VALUE(SUBSTITUTE(LEFT(W62,FIND(" ",W62)-1),",",""))/Lookups!$O$4,0),ROUND(VALUE(LEFT(W62,FIND(" ",W62)-1))*Lookups!$O$3,0))</f>
        <v>48</v>
      </c>
      <c r="S62" s="16" t="s">
        <v>82</v>
      </c>
      <c r="T62" s="16" t="s">
        <v>83</v>
      </c>
      <c r="U62" s="16" t="s">
        <v>84</v>
      </c>
      <c r="V62" s="16" t="s">
        <v>85</v>
      </c>
      <c r="W62" s="16" t="s">
        <v>86</v>
      </c>
      <c r="X62" s="16" t="s">
        <v>87</v>
      </c>
      <c r="Y62" s="16" t="s">
        <v>88</v>
      </c>
      <c r="Z62" s="16" t="s">
        <v>89</v>
      </c>
      <c r="AA62" s="16">
        <f>IF(U62="",INDEX(Lookups!$J$3:$J$5,MATCH(E62,Lookups!$I$3:$I$5,0)),VALUE(LEFT(U62,FIND(" ",U62)-1)))</f>
        <v>15</v>
      </c>
      <c r="AB62" s="16">
        <f t="shared" si="5"/>
        <v>30</v>
      </c>
    </row>
    <row r="63" spans="1:28" x14ac:dyDescent="0.3">
      <c r="A63" s="16">
        <v>62</v>
      </c>
      <c r="B63" s="16" t="str">
        <f t="shared" si="3"/>
        <v>Joshi, Sanya</v>
      </c>
      <c r="C63" s="16" t="s">
        <v>26</v>
      </c>
      <c r="D63" s="16" t="str">
        <f>"Q"&amp;ROUNDUP(MATCH(C63,Lookups!$L$3:$L$14,0)/3,0)</f>
        <v>Q2</v>
      </c>
      <c r="E63" s="16" t="s">
        <v>42</v>
      </c>
      <c r="F63" s="16" t="s">
        <v>91</v>
      </c>
      <c r="G63" s="16" t="s">
        <v>80</v>
      </c>
      <c r="H63" s="17" t="s">
        <v>81</v>
      </c>
      <c r="I63" s="16" t="str">
        <f>INDEX(Lookups!$B$3:$B$6,MATCH(Y63,Lookups!$A$3:$A$6,0))</f>
        <v>India</v>
      </c>
      <c r="J63" s="16" t="str">
        <f>INDEX(Lookups!$C$3:$C$6,MATCH(Y63,Lookups!$A$3:$A$6,0))</f>
        <v>Asia</v>
      </c>
      <c r="K63" s="16" t="str">
        <f>INDEX(Lookups!$D$3:$D$6,MATCH(Y63,Lookups!$A$3:$A$6,0))</f>
        <v>INR</v>
      </c>
      <c r="L63" s="18">
        <v>25000</v>
      </c>
      <c r="M63" s="19">
        <f>ROUND(L63*INDEX(Lookups!$G$3:$G$5,MATCH(K63,Lookups!$F$3:$F$5,0)),0)</f>
        <v>300</v>
      </c>
      <c r="N63" s="20">
        <v>500</v>
      </c>
      <c r="O63" s="21">
        <v>0</v>
      </c>
      <c r="P63" s="19">
        <f t="shared" si="4"/>
        <v>150000</v>
      </c>
      <c r="Q63" s="16" t="str">
        <f>ROUND(AA63*Lookups!$O$3,0)&amp;" - "&amp;ROUND(AB63*Lookups!$O$3,0)&amp;" km/h"</f>
        <v>32 - 56 km/h</v>
      </c>
      <c r="R63" s="22">
        <f>IF(ISNUMBER(SEARCH("meters",W63)),ROUND(VALUE(SUBSTITUTE(LEFT(W63,FIND(" ",W63)-1),",",""))/Lookups!$O$4,0),ROUND(VALUE(LEFT(W63,FIND(" ",W63)-1))*Lookups!$O$3,0))</f>
        <v>64</v>
      </c>
      <c r="S63" s="16" t="s">
        <v>82</v>
      </c>
      <c r="T63" s="16" t="s">
        <v>83</v>
      </c>
      <c r="U63" s="16" t="s">
        <v>92</v>
      </c>
      <c r="V63" s="16" t="s">
        <v>93</v>
      </c>
      <c r="W63" s="16" t="s">
        <v>94</v>
      </c>
      <c r="X63" s="16" t="s">
        <v>95</v>
      </c>
      <c r="Y63" s="16" t="s">
        <v>88</v>
      </c>
      <c r="Z63" s="16" t="s">
        <v>96</v>
      </c>
      <c r="AA63" s="16">
        <f>IF(U63="",INDEX(Lookups!$J$3:$J$5,MATCH(E63,Lookups!$I$3:$I$5,0)),VALUE(LEFT(U63,FIND(" ",U63)-1)))</f>
        <v>20</v>
      </c>
      <c r="AB63" s="16">
        <f t="shared" si="5"/>
        <v>35</v>
      </c>
    </row>
    <row r="64" spans="1:28" x14ac:dyDescent="0.3">
      <c r="A64" s="16">
        <v>63</v>
      </c>
      <c r="B64" s="16" t="str">
        <f t="shared" si="3"/>
        <v>Joshi, Sanya</v>
      </c>
      <c r="C64" s="16" t="s">
        <v>26</v>
      </c>
      <c r="D64" s="16" t="str">
        <f>"Q"&amp;ROUNDUP(MATCH(C64,Lookups!$L$3:$L$14,0)/3,0)</f>
        <v>Q2</v>
      </c>
      <c r="E64" s="16" t="s">
        <v>43</v>
      </c>
      <c r="F64" s="16" t="s">
        <v>98</v>
      </c>
      <c r="G64" s="16" t="s">
        <v>80</v>
      </c>
      <c r="H64" s="17" t="s">
        <v>81</v>
      </c>
      <c r="I64" s="16" t="str">
        <f>INDEX(Lookups!$B$3:$B$6,MATCH(Y64,Lookups!$A$3:$A$6,0))</f>
        <v>India</v>
      </c>
      <c r="J64" s="16" t="str">
        <f>INDEX(Lookups!$C$3:$C$6,MATCH(Y64,Lookups!$A$3:$A$6,0))</f>
        <v>Asia</v>
      </c>
      <c r="K64" s="16" t="str">
        <f>INDEX(Lookups!$D$3:$D$6,MATCH(Y64,Lookups!$A$3:$A$6,0))</f>
        <v>INR</v>
      </c>
      <c r="L64" s="18">
        <v>22000</v>
      </c>
      <c r="M64" s="19">
        <f>ROUND(L64*INDEX(Lookups!$G$3:$G$5,MATCH(K64,Lookups!$F$3:$F$5,0)),0)</f>
        <v>264</v>
      </c>
      <c r="N64" s="20">
        <v>400</v>
      </c>
      <c r="O64" s="21">
        <v>0</v>
      </c>
      <c r="P64" s="19">
        <f t="shared" si="4"/>
        <v>105600</v>
      </c>
      <c r="Q64" s="16" t="str">
        <f>ROUND(AA64*Lookups!$O$3,0)&amp;" - "&amp;ROUND(AB64*Lookups!$O$3,0)&amp;" km/h"</f>
        <v>29 - 45 km/h</v>
      </c>
      <c r="R64" s="22">
        <f>IF(ISNUMBER(SEARCH("meters",W64)),ROUND(VALUE(SUBSTITUTE(LEFT(W64,FIND(" ",W64)-1),",",""))/Lookups!$O$4,0),ROUND(VALUE(LEFT(W64,FIND(" ",W64)-1))*Lookups!$O$3,0))</f>
        <v>40</v>
      </c>
      <c r="S64" s="16" t="s">
        <v>82</v>
      </c>
      <c r="T64" s="16" t="s">
        <v>83</v>
      </c>
      <c r="U64" s="16"/>
      <c r="V64" s="16" t="s">
        <v>100</v>
      </c>
      <c r="W64" s="16" t="s">
        <v>101</v>
      </c>
      <c r="X64" s="16" t="s">
        <v>102</v>
      </c>
      <c r="Y64" s="16" t="s">
        <v>88</v>
      </c>
      <c r="Z64" s="16" t="s">
        <v>103</v>
      </c>
      <c r="AA64" s="16">
        <f>IF(U64="",INDEX(Lookups!$J$3:$J$5,MATCH(E64,Lookups!$I$3:$I$5,0)),VALUE(LEFT(U64,FIND(" ",U64)-1)))</f>
        <v>18</v>
      </c>
      <c r="AB64" s="16">
        <f t="shared" si="5"/>
        <v>28</v>
      </c>
    </row>
    <row r="65" spans="1:28" x14ac:dyDescent="0.3">
      <c r="A65" s="16">
        <v>64</v>
      </c>
      <c r="B65" s="16" t="str">
        <f t="shared" si="3"/>
        <v>Liu, Fang</v>
      </c>
      <c r="C65" s="16" t="s">
        <v>26</v>
      </c>
      <c r="D65" s="16" t="str">
        <f>"Q"&amp;ROUNDUP(MATCH(C65,Lookups!$L$3:$L$14,0)/3,0)</f>
        <v>Q2</v>
      </c>
      <c r="E65" s="16" t="s">
        <v>41</v>
      </c>
      <c r="F65" s="16" t="s">
        <v>105</v>
      </c>
      <c r="G65" s="16" t="s">
        <v>106</v>
      </c>
      <c r="H65" s="17" t="s">
        <v>107</v>
      </c>
      <c r="I65" s="16" t="str">
        <f>INDEX(Lookups!$B$3:$B$6,MATCH(Y65,Lookups!$A$3:$A$6,0))</f>
        <v>China</v>
      </c>
      <c r="J65" s="16" t="str">
        <f>INDEX(Lookups!$C$3:$C$6,MATCH(Y65,Lookups!$A$3:$A$6,0))</f>
        <v>Asia</v>
      </c>
      <c r="K65" s="16" t="str">
        <f>INDEX(Lookups!$D$3:$D$6,MATCH(Y65,Lookups!$A$3:$A$6,0))</f>
        <v>CNY</v>
      </c>
      <c r="L65" s="24">
        <v>5000</v>
      </c>
      <c r="M65" s="19">
        <f>ROUND(L65*INDEX(Lookups!$G$3:$G$5,MATCH(K65,Lookups!$F$3:$F$5,0)),0)</f>
        <v>700</v>
      </c>
      <c r="N65" s="20">
        <v>800</v>
      </c>
      <c r="O65" s="21">
        <v>0</v>
      </c>
      <c r="P65" s="19">
        <f t="shared" si="4"/>
        <v>560000</v>
      </c>
      <c r="Q65" s="16" t="str">
        <f>ROUND(AA65*Lookups!$O$3,0)&amp;" - "&amp;ROUND(AB65*Lookups!$O$3,0)&amp;" km/h"</f>
        <v>24 - 48 km/h</v>
      </c>
      <c r="R65" s="22">
        <f>IF(ISNUMBER(SEARCH("meters",W65)),ROUND(VALUE(SUBSTITUTE(LEFT(W65,FIND(" ",W65)-1),",",""))/Lookups!$O$4,0),ROUND(VALUE(LEFT(W65,FIND(" ",W65)-1))*Lookups!$O$3,0))</f>
        <v>48</v>
      </c>
      <c r="S65" s="16" t="s">
        <v>108</v>
      </c>
      <c r="T65" s="16" t="s">
        <v>109</v>
      </c>
      <c r="U65" s="16" t="s">
        <v>84</v>
      </c>
      <c r="V65" s="16" t="s">
        <v>85</v>
      </c>
      <c r="W65" s="16" t="s">
        <v>86</v>
      </c>
      <c r="X65" s="16" t="s">
        <v>110</v>
      </c>
      <c r="Y65" s="16" t="s">
        <v>111</v>
      </c>
      <c r="Z65" s="16" t="s">
        <v>112</v>
      </c>
      <c r="AA65" s="16">
        <f>IF(U65="",INDEX(Lookups!$J$3:$J$5,MATCH(E65,Lookups!$I$3:$I$5,0)),VALUE(LEFT(U65,FIND(" ",U65)-1)))</f>
        <v>15</v>
      </c>
      <c r="AB65" s="16">
        <f t="shared" si="5"/>
        <v>30</v>
      </c>
    </row>
    <row r="66" spans="1:28" x14ac:dyDescent="0.3">
      <c r="A66" s="16">
        <v>65</v>
      </c>
      <c r="B66" s="16" t="str">
        <f t="shared" ref="B66:B97" si="6">T66&amp;", "&amp;S66</f>
        <v>Liu, Fang</v>
      </c>
      <c r="C66" s="16" t="s">
        <v>26</v>
      </c>
      <c r="D66" s="16" t="str">
        <f>"Q"&amp;ROUNDUP(MATCH(C66,Lookups!$L$3:$L$14,0)/3,0)</f>
        <v>Q2</v>
      </c>
      <c r="E66" s="16" t="s">
        <v>42</v>
      </c>
      <c r="F66" s="16" t="s">
        <v>113</v>
      </c>
      <c r="G66" s="16" t="s">
        <v>106</v>
      </c>
      <c r="H66" s="17" t="s">
        <v>107</v>
      </c>
      <c r="I66" s="16" t="str">
        <f>INDEX(Lookups!$B$3:$B$6,MATCH(Y66,Lookups!$A$3:$A$6,0))</f>
        <v>China</v>
      </c>
      <c r="J66" s="16" t="str">
        <f>INDEX(Lookups!$C$3:$C$6,MATCH(Y66,Lookups!$A$3:$A$6,0))</f>
        <v>Asia</v>
      </c>
      <c r="K66" s="16" t="str">
        <f>INDEX(Lookups!$D$3:$D$6,MATCH(Y66,Lookups!$A$3:$A$6,0))</f>
        <v>CNY</v>
      </c>
      <c r="L66" s="24">
        <v>3500</v>
      </c>
      <c r="M66" s="19">
        <f>ROUND(L66*INDEX(Lookups!$G$3:$G$5,MATCH(K66,Lookups!$F$3:$F$5,0)),0)</f>
        <v>490</v>
      </c>
      <c r="N66" s="20">
        <v>1900</v>
      </c>
      <c r="O66" s="21">
        <v>0</v>
      </c>
      <c r="P66" s="19">
        <f t="shared" ref="P66:P97" si="7">ROUND(N66*M66*(1-O66/100),0)</f>
        <v>931000</v>
      </c>
      <c r="Q66" s="16" t="str">
        <f>ROUND(AA66*Lookups!$O$3,0)&amp;" - "&amp;ROUND(AB66*Lookups!$O$3,0)&amp;" km/h"</f>
        <v>32 - 56 km/h</v>
      </c>
      <c r="R66" s="22">
        <f>IF(ISNUMBER(SEARCH("meters",W66)),ROUND(VALUE(SUBSTITUTE(LEFT(W66,FIND(" ",W66)-1),",",""))/Lookups!$O$4,0),ROUND(VALUE(LEFT(W66,FIND(" ",W66)-1))*Lookups!$O$3,0))</f>
        <v>64</v>
      </c>
      <c r="S66" s="16" t="s">
        <v>108</v>
      </c>
      <c r="T66" s="16" t="s">
        <v>109</v>
      </c>
      <c r="U66" s="16" t="s">
        <v>92</v>
      </c>
      <c r="V66" s="16" t="s">
        <v>93</v>
      </c>
      <c r="W66" s="16" t="s">
        <v>94</v>
      </c>
      <c r="X66" s="16" t="s">
        <v>114</v>
      </c>
      <c r="Y66" s="16" t="s">
        <v>111</v>
      </c>
      <c r="Z66" s="16" t="s">
        <v>115</v>
      </c>
      <c r="AA66" s="16">
        <f>IF(U66="",INDEX(Lookups!$J$3:$J$5,MATCH(E66,Lookups!$I$3:$I$5,0)),VALUE(LEFT(U66,FIND(" ",U66)-1)))</f>
        <v>20</v>
      </c>
      <c r="AB66" s="16">
        <f t="shared" ref="AB66:AB97" si="8">VALUE(LEFT(V66,FIND(" ",V66)-1))</f>
        <v>35</v>
      </c>
    </row>
    <row r="67" spans="1:28" x14ac:dyDescent="0.3">
      <c r="A67" s="16">
        <v>66</v>
      </c>
      <c r="B67" s="16" t="str">
        <f t="shared" si="6"/>
        <v>Liu, Fang</v>
      </c>
      <c r="C67" s="16" t="s">
        <v>26</v>
      </c>
      <c r="D67" s="16" t="str">
        <f>"Q"&amp;ROUNDUP(MATCH(C67,Lookups!$L$3:$L$14,0)/3,0)</f>
        <v>Q2</v>
      </c>
      <c r="E67" s="16" t="s">
        <v>43</v>
      </c>
      <c r="F67" s="16" t="s">
        <v>116</v>
      </c>
      <c r="G67" s="16" t="s">
        <v>106</v>
      </c>
      <c r="H67" s="17" t="s">
        <v>107</v>
      </c>
      <c r="I67" s="16" t="str">
        <f>INDEX(Lookups!$B$3:$B$6,MATCH(Y67,Lookups!$A$3:$A$6,0))</f>
        <v>China</v>
      </c>
      <c r="J67" s="16" t="str">
        <f>INDEX(Lookups!$C$3:$C$6,MATCH(Y67,Lookups!$A$3:$A$6,0))</f>
        <v>Asia</v>
      </c>
      <c r="K67" s="16" t="str">
        <f>INDEX(Lookups!$D$3:$D$6,MATCH(Y67,Lookups!$A$3:$A$6,0))</f>
        <v>CNY</v>
      </c>
      <c r="L67" s="24">
        <v>4200</v>
      </c>
      <c r="M67" s="19">
        <f>ROUND(L67*INDEX(Lookups!$G$3:$G$5,MATCH(K67,Lookups!$F$3:$F$5,0)),0)</f>
        <v>588</v>
      </c>
      <c r="N67" s="20">
        <v>1200</v>
      </c>
      <c r="O67" s="21">
        <v>0</v>
      </c>
      <c r="P67" s="19">
        <f t="shared" si="7"/>
        <v>705600</v>
      </c>
      <c r="Q67" s="16" t="str">
        <f>ROUND(AA67*Lookups!$O$3,0)&amp;" - "&amp;ROUND(AB67*Lookups!$O$3,0)&amp;" km/h"</f>
        <v>29 - 45 km/h</v>
      </c>
      <c r="R67" s="22">
        <f>IF(ISNUMBER(SEARCH("meters",W67)),ROUND(VALUE(SUBSTITUTE(LEFT(W67,FIND(" ",W67)-1),",",""))/Lookups!$O$4,0),ROUND(VALUE(LEFT(W67,FIND(" ",W67)-1))*Lookups!$O$3,0))</f>
        <v>40</v>
      </c>
      <c r="S67" s="16" t="s">
        <v>108</v>
      </c>
      <c r="T67" s="16" t="s">
        <v>109</v>
      </c>
      <c r="U67" s="16" t="s">
        <v>99</v>
      </c>
      <c r="V67" s="16" t="s">
        <v>100</v>
      </c>
      <c r="W67" s="16" t="s">
        <v>101</v>
      </c>
      <c r="X67" s="16" t="s">
        <v>118</v>
      </c>
      <c r="Y67" s="16" t="s">
        <v>111</v>
      </c>
      <c r="Z67" s="16" t="s">
        <v>119</v>
      </c>
      <c r="AA67" s="16">
        <f>IF(U67="",INDEX(Lookups!$J$3:$J$5,MATCH(E67,Lookups!$I$3:$I$5,0)),VALUE(LEFT(U67,FIND(" ",U67)-1)))</f>
        <v>18</v>
      </c>
      <c r="AB67" s="16">
        <f t="shared" si="8"/>
        <v>28</v>
      </c>
    </row>
    <row r="68" spans="1:28" x14ac:dyDescent="0.3">
      <c r="A68" s="16">
        <v>67</v>
      </c>
      <c r="B68" s="16" t="str">
        <f t="shared" si="6"/>
        <v>Fischer, Jonas</v>
      </c>
      <c r="C68" s="16" t="s">
        <v>26</v>
      </c>
      <c r="D68" s="16" t="str">
        <f>"Q"&amp;ROUNDUP(MATCH(C68,Lookups!$L$3:$L$14,0)/3,0)</f>
        <v>Q2</v>
      </c>
      <c r="E68" s="16" t="s">
        <v>41</v>
      </c>
      <c r="F68" s="16" t="s">
        <v>120</v>
      </c>
      <c r="G68" s="16" t="s">
        <v>121</v>
      </c>
      <c r="H68" s="17" t="s">
        <v>122</v>
      </c>
      <c r="I68" s="16" t="str">
        <f>INDEX(Lookups!$B$3:$B$6,MATCH(Y68,Lookups!$A$3:$A$6,0))</f>
        <v>Germany</v>
      </c>
      <c r="J68" s="16" t="str">
        <f>INDEX(Lookups!$C$3:$C$6,MATCH(Y68,Lookups!$A$3:$A$6,0))</f>
        <v>Europe</v>
      </c>
      <c r="K68" s="16" t="str">
        <f>INDEX(Lookups!$D$3:$D$6,MATCH(Y68,Lookups!$A$3:$A$6,0))</f>
        <v>EUR</v>
      </c>
      <c r="L68" s="25">
        <v>1000</v>
      </c>
      <c r="M68" s="19">
        <f>ROUND(L68*INDEX(Lookups!$G$3:$G$5,MATCH(K68,Lookups!$F$3:$F$5,0)),0)</f>
        <v>1080</v>
      </c>
      <c r="N68" s="20">
        <v>200</v>
      </c>
      <c r="O68" s="21">
        <v>0</v>
      </c>
      <c r="P68" s="19">
        <f t="shared" si="7"/>
        <v>216000</v>
      </c>
      <c r="Q68" s="16" t="str">
        <f>ROUND(AA68*Lookups!$O$3,0)&amp;" - "&amp;ROUND(AB68*Lookups!$O$3,0)&amp;" km/h"</f>
        <v>24 - 48 km/h</v>
      </c>
      <c r="R68" s="22">
        <f>IF(ISNUMBER(SEARCH("meters",W68)),ROUND(VALUE(SUBSTITUTE(LEFT(W68,FIND(" ",W68)-1),",",""))/Lookups!$O$4,0),ROUND(VALUE(LEFT(W68,FIND(" ",W68)-1))*Lookups!$O$3,0))</f>
        <v>48</v>
      </c>
      <c r="S68" s="16" t="s">
        <v>123</v>
      </c>
      <c r="T68" s="16" t="s">
        <v>124</v>
      </c>
      <c r="U68" s="16" t="s">
        <v>84</v>
      </c>
      <c r="V68" s="16" t="s">
        <v>85</v>
      </c>
      <c r="W68" s="16" t="s">
        <v>86</v>
      </c>
      <c r="X68" s="16" t="s">
        <v>126</v>
      </c>
      <c r="Y68" s="16" t="s">
        <v>127</v>
      </c>
      <c r="Z68" s="16" t="s">
        <v>128</v>
      </c>
      <c r="AA68" s="16">
        <f>IF(U68="",INDEX(Lookups!$J$3:$J$5,MATCH(E68,Lookups!$I$3:$I$5,0)),VALUE(LEFT(U68,FIND(" ",U68)-1)))</f>
        <v>15</v>
      </c>
      <c r="AB68" s="16">
        <f t="shared" si="8"/>
        <v>30</v>
      </c>
    </row>
    <row r="69" spans="1:28" x14ac:dyDescent="0.3">
      <c r="A69" s="16">
        <v>68</v>
      </c>
      <c r="B69" s="16" t="str">
        <f t="shared" si="6"/>
        <v>Fischer, Jonas</v>
      </c>
      <c r="C69" s="16" t="s">
        <v>26</v>
      </c>
      <c r="D69" s="16" t="str">
        <f>"Q"&amp;ROUNDUP(MATCH(C69,Lookups!$L$3:$L$14,0)/3,0)</f>
        <v>Q2</v>
      </c>
      <c r="E69" s="16" t="s">
        <v>42</v>
      </c>
      <c r="F69" s="16" t="s">
        <v>129</v>
      </c>
      <c r="G69" s="16" t="s">
        <v>121</v>
      </c>
      <c r="H69" s="17" t="s">
        <v>122</v>
      </c>
      <c r="I69" s="16" t="str">
        <f>INDEX(Lookups!$B$3:$B$6,MATCH(Y69,Lookups!$A$3:$A$6,0))</f>
        <v>Germany</v>
      </c>
      <c r="J69" s="16" t="str">
        <f>INDEX(Lookups!$C$3:$C$6,MATCH(Y69,Lookups!$A$3:$A$6,0))</f>
        <v>Europe</v>
      </c>
      <c r="K69" s="16" t="str">
        <f>INDEX(Lookups!$D$3:$D$6,MATCH(Y69,Lookups!$A$3:$A$6,0))</f>
        <v>EUR</v>
      </c>
      <c r="L69" s="25">
        <v>800</v>
      </c>
      <c r="M69" s="19">
        <f>ROUND(L69*INDEX(Lookups!$G$3:$G$5,MATCH(K69,Lookups!$F$3:$F$5,0)),0)</f>
        <v>864</v>
      </c>
      <c r="N69" s="20">
        <v>350</v>
      </c>
      <c r="O69" s="21">
        <v>0</v>
      </c>
      <c r="P69" s="19">
        <f t="shared" si="7"/>
        <v>302400</v>
      </c>
      <c r="Q69" s="16" t="str">
        <f>ROUND(AA69*Lookups!$O$3,0)&amp;" - "&amp;ROUND(AB69*Lookups!$O$3,0)&amp;" km/h"</f>
        <v>32 - 56 km/h</v>
      </c>
      <c r="R69" s="22">
        <f>IF(ISNUMBER(SEARCH("meters",W69)),ROUND(VALUE(SUBSTITUTE(LEFT(W69,FIND(" ",W69)-1),",",""))/Lookups!$O$4,0),ROUND(VALUE(LEFT(W69,FIND(" ",W69)-1))*Lookups!$O$3,0))</f>
        <v>64</v>
      </c>
      <c r="S69" s="16" t="s">
        <v>123</v>
      </c>
      <c r="T69" s="16" t="s">
        <v>124</v>
      </c>
      <c r="U69" s="16" t="s">
        <v>92</v>
      </c>
      <c r="V69" s="16" t="s">
        <v>93</v>
      </c>
      <c r="W69" s="16" t="s">
        <v>144</v>
      </c>
      <c r="X69" s="16" t="s">
        <v>130</v>
      </c>
      <c r="Y69" s="16" t="s">
        <v>127</v>
      </c>
      <c r="Z69" s="16" t="s">
        <v>131</v>
      </c>
      <c r="AA69" s="16">
        <f>IF(U69="",INDEX(Lookups!$J$3:$J$5,MATCH(E69,Lookups!$I$3:$I$5,0)),VALUE(LEFT(U69,FIND(" ",U69)-1)))</f>
        <v>20</v>
      </c>
      <c r="AB69" s="16">
        <f t="shared" si="8"/>
        <v>35</v>
      </c>
    </row>
    <row r="70" spans="1:28" x14ac:dyDescent="0.3">
      <c r="A70" s="16">
        <v>69</v>
      </c>
      <c r="B70" s="16" t="str">
        <f t="shared" si="6"/>
        <v>Fischer, Jonas</v>
      </c>
      <c r="C70" s="16" t="s">
        <v>26</v>
      </c>
      <c r="D70" s="16" t="str">
        <f>"Q"&amp;ROUNDUP(MATCH(C70,Lookups!$L$3:$L$14,0)/3,0)</f>
        <v>Q2</v>
      </c>
      <c r="E70" s="16" t="s">
        <v>43</v>
      </c>
      <c r="F70" s="16" t="s">
        <v>132</v>
      </c>
      <c r="G70" s="16" t="s">
        <v>121</v>
      </c>
      <c r="H70" s="17" t="s">
        <v>122</v>
      </c>
      <c r="I70" s="16" t="str">
        <f>INDEX(Lookups!$B$3:$B$6,MATCH(Y70,Lookups!$A$3:$A$6,0))</f>
        <v>Germany</v>
      </c>
      <c r="J70" s="16" t="str">
        <f>INDEX(Lookups!$C$3:$C$6,MATCH(Y70,Lookups!$A$3:$A$6,0))</f>
        <v>Europe</v>
      </c>
      <c r="K70" s="16" t="str">
        <f>INDEX(Lookups!$D$3:$D$6,MATCH(Y70,Lookups!$A$3:$A$6,0))</f>
        <v>EUR</v>
      </c>
      <c r="L70" s="25">
        <v>950</v>
      </c>
      <c r="M70" s="19">
        <f>ROUND(L70*INDEX(Lookups!$G$3:$G$5,MATCH(K70,Lookups!$F$3:$F$5,0)),0)</f>
        <v>1026</v>
      </c>
      <c r="N70" s="20">
        <v>250</v>
      </c>
      <c r="O70" s="21">
        <v>0</v>
      </c>
      <c r="P70" s="19">
        <f t="shared" si="7"/>
        <v>256500</v>
      </c>
      <c r="Q70" s="16" t="str">
        <f>ROUND(AA70*Lookups!$O$3,0)&amp;" - "&amp;ROUND(AB70*Lookups!$O$3,0)&amp;" km/h"</f>
        <v>29 - 45 km/h</v>
      </c>
      <c r="R70" s="22">
        <f>IF(ISNUMBER(SEARCH("meters",W70)),ROUND(VALUE(SUBSTITUTE(LEFT(W70,FIND(" ",W70)-1),",",""))/Lookups!$O$4,0),ROUND(VALUE(LEFT(W70,FIND(" ",W70)-1))*Lookups!$O$3,0))</f>
        <v>40</v>
      </c>
      <c r="S70" s="16" t="s">
        <v>123</v>
      </c>
      <c r="T70" s="16" t="s">
        <v>124</v>
      </c>
      <c r="U70" s="16" t="s">
        <v>99</v>
      </c>
      <c r="V70" s="16" t="s">
        <v>100</v>
      </c>
      <c r="W70" s="16" t="s">
        <v>117</v>
      </c>
      <c r="X70" s="16" t="s">
        <v>133</v>
      </c>
      <c r="Y70" s="16" t="s">
        <v>127</v>
      </c>
      <c r="Z70" s="16" t="s">
        <v>134</v>
      </c>
      <c r="AA70" s="16">
        <f>IF(U70="",INDEX(Lookups!$J$3:$J$5,MATCH(E70,Lookups!$I$3:$I$5,0)),VALUE(LEFT(U70,FIND(" ",U70)-1)))</f>
        <v>18</v>
      </c>
      <c r="AB70" s="16">
        <f t="shared" si="8"/>
        <v>28</v>
      </c>
    </row>
    <row r="71" spans="1:28" x14ac:dyDescent="0.3">
      <c r="A71" s="16">
        <v>70</v>
      </c>
      <c r="B71" s="16" t="str">
        <f t="shared" si="6"/>
        <v>Bernard, Théo</v>
      </c>
      <c r="C71" s="16" t="s">
        <v>26</v>
      </c>
      <c r="D71" s="16" t="str">
        <f>"Q"&amp;ROUNDUP(MATCH(C71,Lookups!$L$3:$L$14,0)/3,0)</f>
        <v>Q2</v>
      </c>
      <c r="E71" s="16" t="s">
        <v>41</v>
      </c>
      <c r="F71" s="16" t="s">
        <v>135</v>
      </c>
      <c r="G71" s="16" t="s">
        <v>136</v>
      </c>
      <c r="H71" s="17" t="s">
        <v>137</v>
      </c>
      <c r="I71" s="16" t="str">
        <f>INDEX(Lookups!$B$3:$B$6,MATCH(Y71,Lookups!$A$3:$A$6,0))</f>
        <v>France</v>
      </c>
      <c r="J71" s="16" t="str">
        <f>INDEX(Lookups!$C$3:$C$6,MATCH(Y71,Lookups!$A$3:$A$6,0))</f>
        <v>Europe</v>
      </c>
      <c r="K71" s="16" t="str">
        <f>INDEX(Lookups!$D$3:$D$6,MATCH(Y71,Lookups!$A$3:$A$6,0))</f>
        <v>EUR</v>
      </c>
      <c r="L71" s="25">
        <v>1100</v>
      </c>
      <c r="M71" s="19">
        <f>ROUND(L71*INDEX(Lookups!$G$3:$G$5,MATCH(K71,Lookups!$F$3:$F$5,0)),0)</f>
        <v>1188</v>
      </c>
      <c r="N71" s="20">
        <v>150</v>
      </c>
      <c r="O71" s="21">
        <v>0</v>
      </c>
      <c r="P71" s="19">
        <f t="shared" si="7"/>
        <v>178200</v>
      </c>
      <c r="Q71" s="16" t="str">
        <f>ROUND(AA71*Lookups!$O$3,0)&amp;" - "&amp;ROUND(AB71*Lookups!$O$3,0)&amp;" km/h"</f>
        <v>24 - 48 km/h</v>
      </c>
      <c r="R71" s="22">
        <f>IF(ISNUMBER(SEARCH("meters",W71)),ROUND(VALUE(SUBSTITUTE(LEFT(W71,FIND(" ",W71)-1),",",""))/Lookups!$O$4,0),ROUND(VALUE(LEFT(W71,FIND(" ",W71)-1))*Lookups!$O$3,0))</f>
        <v>48</v>
      </c>
      <c r="S71" s="16" t="s">
        <v>138</v>
      </c>
      <c r="T71" s="16" t="s">
        <v>139</v>
      </c>
      <c r="U71" s="16"/>
      <c r="V71" s="16" t="s">
        <v>85</v>
      </c>
      <c r="W71" s="16" t="s">
        <v>86</v>
      </c>
      <c r="X71" s="16" t="s">
        <v>140</v>
      </c>
      <c r="Y71" s="16" t="s">
        <v>141</v>
      </c>
      <c r="Z71" s="16" t="s">
        <v>142</v>
      </c>
      <c r="AA71" s="16">
        <f>IF(U71="",INDEX(Lookups!$J$3:$J$5,MATCH(E71,Lookups!$I$3:$I$5,0)),VALUE(LEFT(U71,FIND(" ",U71)-1)))</f>
        <v>15</v>
      </c>
      <c r="AB71" s="16">
        <f t="shared" si="8"/>
        <v>30</v>
      </c>
    </row>
    <row r="72" spans="1:28" x14ac:dyDescent="0.3">
      <c r="A72" s="16">
        <v>71</v>
      </c>
      <c r="B72" s="16" t="str">
        <f t="shared" si="6"/>
        <v>Bernard, Théo</v>
      </c>
      <c r="C72" s="16" t="s">
        <v>26</v>
      </c>
      <c r="D72" s="16" t="str">
        <f>"Q"&amp;ROUNDUP(MATCH(C72,Lookups!$L$3:$L$14,0)/3,0)</f>
        <v>Q2</v>
      </c>
      <c r="E72" s="16" t="s">
        <v>42</v>
      </c>
      <c r="F72" s="16" t="s">
        <v>143</v>
      </c>
      <c r="G72" s="16" t="s">
        <v>136</v>
      </c>
      <c r="H72" s="17" t="s">
        <v>137</v>
      </c>
      <c r="I72" s="16" t="str">
        <f>INDEX(Lookups!$B$3:$B$6,MATCH(Y72,Lookups!$A$3:$A$6,0))</f>
        <v>France</v>
      </c>
      <c r="J72" s="16" t="str">
        <f>INDEX(Lookups!$C$3:$C$6,MATCH(Y72,Lookups!$A$3:$A$6,0))</f>
        <v>Europe</v>
      </c>
      <c r="K72" s="16" t="str">
        <f>INDEX(Lookups!$D$3:$D$6,MATCH(Y72,Lookups!$A$3:$A$6,0))</f>
        <v>EUR</v>
      </c>
      <c r="L72" s="25">
        <v>900</v>
      </c>
      <c r="M72" s="19">
        <f>ROUND(L72*INDEX(Lookups!$G$3:$G$5,MATCH(K72,Lookups!$F$3:$F$5,0)),0)</f>
        <v>972</v>
      </c>
      <c r="N72" s="20">
        <v>350</v>
      </c>
      <c r="O72" s="21">
        <v>0</v>
      </c>
      <c r="P72" s="19">
        <f t="shared" si="7"/>
        <v>340200</v>
      </c>
      <c r="Q72" s="16" t="str">
        <f>ROUND(AA72*Lookups!$O$3,0)&amp;" - "&amp;ROUND(AB72*Lookups!$O$3,0)&amp;" km/h"</f>
        <v>32 - 56 km/h</v>
      </c>
      <c r="R72" s="22">
        <f>IF(ISNUMBER(SEARCH("meters",W72)),ROUND(VALUE(SUBSTITUTE(LEFT(W72,FIND(" ",W72)-1),",",""))/Lookups!$O$4,0),ROUND(VALUE(LEFT(W72,FIND(" ",W72)-1))*Lookups!$O$3,0))</f>
        <v>64</v>
      </c>
      <c r="S72" s="16" t="s">
        <v>138</v>
      </c>
      <c r="T72" s="16" t="s">
        <v>139</v>
      </c>
      <c r="U72" s="16" t="s">
        <v>92</v>
      </c>
      <c r="V72" s="16" t="s">
        <v>93</v>
      </c>
      <c r="W72" s="16" t="s">
        <v>94</v>
      </c>
      <c r="X72" s="16" t="s">
        <v>145</v>
      </c>
      <c r="Y72" s="16" t="s">
        <v>141</v>
      </c>
      <c r="Z72" s="16" t="s">
        <v>146</v>
      </c>
      <c r="AA72" s="16">
        <f>IF(U72="",INDEX(Lookups!$J$3:$J$5,MATCH(E72,Lookups!$I$3:$I$5,0)),VALUE(LEFT(U72,FIND(" ",U72)-1)))</f>
        <v>20</v>
      </c>
      <c r="AB72" s="16">
        <f t="shared" si="8"/>
        <v>35</v>
      </c>
    </row>
    <row r="73" spans="1:28" x14ac:dyDescent="0.3">
      <c r="A73" s="16">
        <v>72</v>
      </c>
      <c r="B73" s="16" t="str">
        <f t="shared" si="6"/>
        <v>Bernard, Théo</v>
      </c>
      <c r="C73" s="16" t="s">
        <v>26</v>
      </c>
      <c r="D73" s="16" t="str">
        <f>"Q"&amp;ROUNDUP(MATCH(C73,Lookups!$L$3:$L$14,0)/3,0)</f>
        <v>Q2</v>
      </c>
      <c r="E73" s="16" t="s">
        <v>43</v>
      </c>
      <c r="F73" s="16" t="s">
        <v>147</v>
      </c>
      <c r="G73" s="16" t="s">
        <v>136</v>
      </c>
      <c r="H73" s="17" t="s">
        <v>137</v>
      </c>
      <c r="I73" s="16" t="str">
        <f>INDEX(Lookups!$B$3:$B$6,MATCH(Y73,Lookups!$A$3:$A$6,0))</f>
        <v>France</v>
      </c>
      <c r="J73" s="16" t="str">
        <f>INDEX(Lookups!$C$3:$C$6,MATCH(Y73,Lookups!$A$3:$A$6,0))</f>
        <v>Europe</v>
      </c>
      <c r="K73" s="16" t="str">
        <f>INDEX(Lookups!$D$3:$D$6,MATCH(Y73,Lookups!$A$3:$A$6,0))</f>
        <v>EUR</v>
      </c>
      <c r="L73" s="25">
        <v>1050</v>
      </c>
      <c r="M73" s="19">
        <f>ROUND(L73*INDEX(Lookups!$G$3:$G$5,MATCH(K73,Lookups!$F$3:$F$5,0)),0)</f>
        <v>1134</v>
      </c>
      <c r="N73" s="20">
        <v>300</v>
      </c>
      <c r="O73" s="21">
        <v>0</v>
      </c>
      <c r="P73" s="19">
        <f t="shared" si="7"/>
        <v>340200</v>
      </c>
      <c r="Q73" s="16" t="str">
        <f>ROUND(AA73*Lookups!$O$3,0)&amp;" - "&amp;ROUND(AB73*Lookups!$O$3,0)&amp;" km/h"</f>
        <v>29 - 45 km/h</v>
      </c>
      <c r="R73" s="22">
        <f>IF(ISNUMBER(SEARCH("meters",W73)),ROUND(VALUE(SUBSTITUTE(LEFT(W73,FIND(" ",W73)-1),",",""))/Lookups!$O$4,0),ROUND(VALUE(LEFT(W73,FIND(" ",W73)-1))*Lookups!$O$3,0))</f>
        <v>40</v>
      </c>
      <c r="S73" s="16" t="s">
        <v>138</v>
      </c>
      <c r="T73" s="16" t="s">
        <v>139</v>
      </c>
      <c r="U73" s="16" t="s">
        <v>99</v>
      </c>
      <c r="V73" s="16" t="s">
        <v>100</v>
      </c>
      <c r="W73" s="16" t="s">
        <v>101</v>
      </c>
      <c r="X73" s="16" t="s">
        <v>148</v>
      </c>
      <c r="Y73" s="16" t="s">
        <v>141</v>
      </c>
      <c r="Z73" s="16" t="s">
        <v>149</v>
      </c>
      <c r="AA73" s="16">
        <f>IF(U73="",INDEX(Lookups!$J$3:$J$5,MATCH(E73,Lookups!$I$3:$I$5,0)),VALUE(LEFT(U73,FIND(" ",U73)-1)))</f>
        <v>18</v>
      </c>
      <c r="AB73" s="16">
        <f t="shared" si="8"/>
        <v>28</v>
      </c>
    </row>
    <row r="74" spans="1:28" x14ac:dyDescent="0.3">
      <c r="A74" s="16">
        <v>73</v>
      </c>
      <c r="B74" s="16" t="str">
        <f t="shared" si="6"/>
        <v>Joshi, Sanya</v>
      </c>
      <c r="C74" s="16" t="s">
        <v>27</v>
      </c>
      <c r="D74" s="16" t="str">
        <f>"Q"&amp;ROUNDUP(MATCH(C74,Lookups!$L$3:$L$14,0)/3,0)</f>
        <v>Q3</v>
      </c>
      <c r="E74" s="16" t="s">
        <v>41</v>
      </c>
      <c r="F74" s="16" t="s">
        <v>79</v>
      </c>
      <c r="G74" s="16" t="s">
        <v>80</v>
      </c>
      <c r="H74" s="17" t="s">
        <v>81</v>
      </c>
      <c r="I74" s="16" t="str">
        <f>INDEX(Lookups!$B$3:$B$6,MATCH(Y74,Lookups!$A$3:$A$6,0))</f>
        <v>India</v>
      </c>
      <c r="J74" s="16" t="str">
        <f>INDEX(Lookups!$C$3:$C$6,MATCH(Y74,Lookups!$A$3:$A$6,0))</f>
        <v>Asia</v>
      </c>
      <c r="K74" s="16" t="str">
        <f>INDEX(Lookups!$D$3:$D$6,MATCH(Y74,Lookups!$A$3:$A$6,0))</f>
        <v>INR</v>
      </c>
      <c r="L74" s="18">
        <v>30000</v>
      </c>
      <c r="M74" s="19">
        <f>ROUND(L74*INDEX(Lookups!$G$3:$G$5,MATCH(K74,Lookups!$F$3:$F$5,0)),0)</f>
        <v>360</v>
      </c>
      <c r="N74" s="20">
        <v>250</v>
      </c>
      <c r="O74" s="21">
        <v>0</v>
      </c>
      <c r="P74" s="19">
        <f t="shared" si="7"/>
        <v>90000</v>
      </c>
      <c r="Q74" s="16" t="str">
        <f>ROUND(AA74*Lookups!$O$3,0)&amp;" - "&amp;ROUND(AB74*Lookups!$O$3,0)&amp;" km/h"</f>
        <v>24 - 48 km/h</v>
      </c>
      <c r="R74" s="22">
        <f>IF(ISNUMBER(SEARCH("meters",W74)),ROUND(VALUE(SUBSTITUTE(LEFT(W74,FIND(" ",W74)-1),",",""))/Lookups!$O$4,0),ROUND(VALUE(LEFT(W74,FIND(" ",W74)-1))*Lookups!$O$3,0))</f>
        <v>48</v>
      </c>
      <c r="S74" s="16" t="s">
        <v>82</v>
      </c>
      <c r="T74" s="16" t="s">
        <v>83</v>
      </c>
      <c r="U74" s="16" t="s">
        <v>84</v>
      </c>
      <c r="V74" s="16" t="s">
        <v>85</v>
      </c>
      <c r="W74" s="16" t="s">
        <v>86</v>
      </c>
      <c r="X74" s="16" t="s">
        <v>87</v>
      </c>
      <c r="Y74" s="16" t="s">
        <v>88</v>
      </c>
      <c r="Z74" s="16" t="s">
        <v>89</v>
      </c>
      <c r="AA74" s="16">
        <f>IF(U74="",INDEX(Lookups!$J$3:$J$5,MATCH(E74,Lookups!$I$3:$I$5,0)),VALUE(LEFT(U74,FIND(" ",U74)-1)))</f>
        <v>15</v>
      </c>
      <c r="AB74" s="16">
        <f t="shared" si="8"/>
        <v>30</v>
      </c>
    </row>
    <row r="75" spans="1:28" x14ac:dyDescent="0.3">
      <c r="A75" s="16">
        <v>74</v>
      </c>
      <c r="B75" s="16" t="str">
        <f t="shared" si="6"/>
        <v>Joshi, Sanya</v>
      </c>
      <c r="C75" s="16" t="s">
        <v>27</v>
      </c>
      <c r="D75" s="16" t="str">
        <f>"Q"&amp;ROUNDUP(MATCH(C75,Lookups!$L$3:$L$14,0)/3,0)</f>
        <v>Q3</v>
      </c>
      <c r="E75" s="16" t="s">
        <v>42</v>
      </c>
      <c r="F75" s="16" t="s">
        <v>91</v>
      </c>
      <c r="G75" s="16" t="s">
        <v>80</v>
      </c>
      <c r="H75" s="17" t="s">
        <v>81</v>
      </c>
      <c r="I75" s="16" t="str">
        <f>INDEX(Lookups!$B$3:$B$6,MATCH(Y75,Lookups!$A$3:$A$6,0))</f>
        <v>India</v>
      </c>
      <c r="J75" s="16" t="str">
        <f>INDEX(Lookups!$C$3:$C$6,MATCH(Y75,Lookups!$A$3:$A$6,0))</f>
        <v>Asia</v>
      </c>
      <c r="K75" s="16" t="str">
        <f>INDEX(Lookups!$D$3:$D$6,MATCH(Y75,Lookups!$A$3:$A$6,0))</f>
        <v>INR</v>
      </c>
      <c r="L75" s="18">
        <v>25000</v>
      </c>
      <c r="M75" s="19">
        <f>ROUND(L75*INDEX(Lookups!$G$3:$G$5,MATCH(K75,Lookups!$F$3:$F$5,0)),0)</f>
        <v>300</v>
      </c>
      <c r="N75" s="20">
        <v>500</v>
      </c>
      <c r="O75" s="21">
        <v>0</v>
      </c>
      <c r="P75" s="19">
        <f t="shared" si="7"/>
        <v>150000</v>
      </c>
      <c r="Q75" s="16" t="str">
        <f>ROUND(AA75*Lookups!$O$3,0)&amp;" - "&amp;ROUND(AB75*Lookups!$O$3,0)&amp;" km/h"</f>
        <v>32 - 56 km/h</v>
      </c>
      <c r="R75" s="22">
        <f>IF(ISNUMBER(SEARCH("meters",W75)),ROUND(VALUE(SUBSTITUTE(LEFT(W75,FIND(" ",W75)-1),",",""))/Lookups!$O$4,0),ROUND(VALUE(LEFT(W75,FIND(" ",W75)-1))*Lookups!$O$3,0))</f>
        <v>64</v>
      </c>
      <c r="S75" s="16" t="s">
        <v>82</v>
      </c>
      <c r="T75" s="16" t="s">
        <v>83</v>
      </c>
      <c r="U75" s="16" t="s">
        <v>92</v>
      </c>
      <c r="V75" s="16" t="s">
        <v>93</v>
      </c>
      <c r="W75" s="16" t="s">
        <v>94</v>
      </c>
      <c r="X75" s="16" t="s">
        <v>95</v>
      </c>
      <c r="Y75" s="16" t="s">
        <v>88</v>
      </c>
      <c r="Z75" s="16" t="s">
        <v>96</v>
      </c>
      <c r="AA75" s="16">
        <f>IF(U75="",INDEX(Lookups!$J$3:$J$5,MATCH(E75,Lookups!$I$3:$I$5,0)),VALUE(LEFT(U75,FIND(" ",U75)-1)))</f>
        <v>20</v>
      </c>
      <c r="AB75" s="16">
        <f t="shared" si="8"/>
        <v>35</v>
      </c>
    </row>
    <row r="76" spans="1:28" x14ac:dyDescent="0.3">
      <c r="A76" s="16">
        <v>75</v>
      </c>
      <c r="B76" s="16" t="str">
        <f t="shared" si="6"/>
        <v>Joshi, Sanya</v>
      </c>
      <c r="C76" s="16" t="s">
        <v>27</v>
      </c>
      <c r="D76" s="16" t="str">
        <f>"Q"&amp;ROUNDUP(MATCH(C76,Lookups!$L$3:$L$14,0)/3,0)</f>
        <v>Q3</v>
      </c>
      <c r="E76" s="16" t="s">
        <v>43</v>
      </c>
      <c r="F76" s="16" t="s">
        <v>98</v>
      </c>
      <c r="G76" s="16" t="s">
        <v>80</v>
      </c>
      <c r="H76" s="17" t="s">
        <v>81</v>
      </c>
      <c r="I76" s="16" t="str">
        <f>INDEX(Lookups!$B$3:$B$6,MATCH(Y76,Lookups!$A$3:$A$6,0))</f>
        <v>India</v>
      </c>
      <c r="J76" s="16" t="str">
        <f>INDEX(Lookups!$C$3:$C$6,MATCH(Y76,Lookups!$A$3:$A$6,0))</f>
        <v>Asia</v>
      </c>
      <c r="K76" s="16" t="str">
        <f>INDEX(Lookups!$D$3:$D$6,MATCH(Y76,Lookups!$A$3:$A$6,0))</f>
        <v>INR</v>
      </c>
      <c r="L76" s="18">
        <v>22000</v>
      </c>
      <c r="M76" s="19">
        <f>ROUND(L76*INDEX(Lookups!$G$3:$G$5,MATCH(K76,Lookups!$F$3:$F$5,0)),0)</f>
        <v>264</v>
      </c>
      <c r="N76" s="20">
        <v>400</v>
      </c>
      <c r="O76" s="21">
        <v>0</v>
      </c>
      <c r="P76" s="19">
        <f t="shared" si="7"/>
        <v>105600</v>
      </c>
      <c r="Q76" s="16" t="str">
        <f>ROUND(AA76*Lookups!$O$3,0)&amp;" - "&amp;ROUND(AB76*Lookups!$O$3,0)&amp;" km/h"</f>
        <v>29 - 45 km/h</v>
      </c>
      <c r="R76" s="22">
        <f>IF(ISNUMBER(SEARCH("meters",W76)),ROUND(VALUE(SUBSTITUTE(LEFT(W76,FIND(" ",W76)-1),",",""))/Lookups!$O$4,0),ROUND(VALUE(LEFT(W76,FIND(" ",W76)-1))*Lookups!$O$3,0))</f>
        <v>40</v>
      </c>
      <c r="S76" s="16" t="s">
        <v>82</v>
      </c>
      <c r="T76" s="16" t="s">
        <v>83</v>
      </c>
      <c r="U76" s="16" t="s">
        <v>99</v>
      </c>
      <c r="V76" s="16" t="s">
        <v>100</v>
      </c>
      <c r="W76" s="16" t="s">
        <v>101</v>
      </c>
      <c r="X76" s="16" t="s">
        <v>102</v>
      </c>
      <c r="Y76" s="16" t="s">
        <v>88</v>
      </c>
      <c r="Z76" s="16" t="s">
        <v>103</v>
      </c>
      <c r="AA76" s="16">
        <f>IF(U76="",INDEX(Lookups!$J$3:$J$5,MATCH(E76,Lookups!$I$3:$I$5,0)),VALUE(LEFT(U76,FIND(" ",U76)-1)))</f>
        <v>18</v>
      </c>
      <c r="AB76" s="16">
        <f t="shared" si="8"/>
        <v>28</v>
      </c>
    </row>
    <row r="77" spans="1:28" x14ac:dyDescent="0.3">
      <c r="A77" s="16">
        <v>76</v>
      </c>
      <c r="B77" s="16" t="str">
        <f t="shared" si="6"/>
        <v>Liu, Fang</v>
      </c>
      <c r="C77" s="16" t="s">
        <v>27</v>
      </c>
      <c r="D77" s="16" t="str">
        <f>"Q"&amp;ROUNDUP(MATCH(C77,Lookups!$L$3:$L$14,0)/3,0)</f>
        <v>Q3</v>
      </c>
      <c r="E77" s="16" t="s">
        <v>41</v>
      </c>
      <c r="F77" s="16" t="s">
        <v>105</v>
      </c>
      <c r="G77" s="16" t="s">
        <v>106</v>
      </c>
      <c r="H77" s="17" t="s">
        <v>107</v>
      </c>
      <c r="I77" s="16" t="str">
        <f>INDEX(Lookups!$B$3:$B$6,MATCH(Y77,Lookups!$A$3:$A$6,0))</f>
        <v>China</v>
      </c>
      <c r="J77" s="16" t="str">
        <f>INDEX(Lookups!$C$3:$C$6,MATCH(Y77,Lookups!$A$3:$A$6,0))</f>
        <v>Asia</v>
      </c>
      <c r="K77" s="16" t="str">
        <f>INDEX(Lookups!$D$3:$D$6,MATCH(Y77,Lookups!$A$3:$A$6,0))</f>
        <v>CNY</v>
      </c>
      <c r="L77" s="24">
        <v>5000</v>
      </c>
      <c r="M77" s="19">
        <f>ROUND(L77*INDEX(Lookups!$G$3:$G$5,MATCH(K77,Lookups!$F$3:$F$5,0)),0)</f>
        <v>700</v>
      </c>
      <c r="N77" s="20">
        <v>800</v>
      </c>
      <c r="O77" s="21">
        <v>0</v>
      </c>
      <c r="P77" s="19">
        <f t="shared" si="7"/>
        <v>560000</v>
      </c>
      <c r="Q77" s="16" t="str">
        <f>ROUND(AA77*Lookups!$O$3,0)&amp;" - "&amp;ROUND(AB77*Lookups!$O$3,0)&amp;" km/h"</f>
        <v>24 - 48 km/h</v>
      </c>
      <c r="R77" s="22">
        <f>IF(ISNUMBER(SEARCH("meters",W77)),ROUND(VALUE(SUBSTITUTE(LEFT(W77,FIND(" ",W77)-1),",",""))/Lookups!$O$4,0),ROUND(VALUE(LEFT(W77,FIND(" ",W77)-1))*Lookups!$O$3,0))</f>
        <v>48</v>
      </c>
      <c r="S77" s="16" t="s">
        <v>108</v>
      </c>
      <c r="T77" s="16" t="s">
        <v>109</v>
      </c>
      <c r="U77" s="16" t="s">
        <v>84</v>
      </c>
      <c r="V77" s="16" t="s">
        <v>85</v>
      </c>
      <c r="W77" s="16" t="s">
        <v>125</v>
      </c>
      <c r="X77" s="16" t="s">
        <v>110</v>
      </c>
      <c r="Y77" s="16" t="s">
        <v>111</v>
      </c>
      <c r="Z77" s="16" t="s">
        <v>112</v>
      </c>
      <c r="AA77" s="16">
        <f>IF(U77="",INDEX(Lookups!$J$3:$J$5,MATCH(E77,Lookups!$I$3:$I$5,0)),VALUE(LEFT(U77,FIND(" ",U77)-1)))</f>
        <v>15</v>
      </c>
      <c r="AB77" s="16">
        <f t="shared" si="8"/>
        <v>30</v>
      </c>
    </row>
    <row r="78" spans="1:28" x14ac:dyDescent="0.3">
      <c r="A78" s="16">
        <v>77</v>
      </c>
      <c r="B78" s="16" t="str">
        <f t="shared" si="6"/>
        <v>Liu, Fang</v>
      </c>
      <c r="C78" s="16" t="s">
        <v>27</v>
      </c>
      <c r="D78" s="16" t="str">
        <f>"Q"&amp;ROUNDUP(MATCH(C78,Lookups!$L$3:$L$14,0)/3,0)</f>
        <v>Q3</v>
      </c>
      <c r="E78" s="16" t="s">
        <v>42</v>
      </c>
      <c r="F78" s="16" t="s">
        <v>113</v>
      </c>
      <c r="G78" s="16" t="s">
        <v>106</v>
      </c>
      <c r="H78" s="17" t="s">
        <v>107</v>
      </c>
      <c r="I78" s="16" t="str">
        <f>INDEX(Lookups!$B$3:$B$6,MATCH(Y78,Lookups!$A$3:$A$6,0))</f>
        <v>China</v>
      </c>
      <c r="J78" s="16" t="str">
        <f>INDEX(Lookups!$C$3:$C$6,MATCH(Y78,Lookups!$A$3:$A$6,0))</f>
        <v>Asia</v>
      </c>
      <c r="K78" s="16" t="str">
        <f>INDEX(Lookups!$D$3:$D$6,MATCH(Y78,Lookups!$A$3:$A$6,0))</f>
        <v>CNY</v>
      </c>
      <c r="L78" s="24">
        <v>3500</v>
      </c>
      <c r="M78" s="19">
        <f>ROUND(L78*INDEX(Lookups!$G$3:$G$5,MATCH(K78,Lookups!$F$3:$F$5,0)),0)</f>
        <v>490</v>
      </c>
      <c r="N78" s="20">
        <v>1800</v>
      </c>
      <c r="O78" s="21">
        <v>0</v>
      </c>
      <c r="P78" s="19">
        <f t="shared" si="7"/>
        <v>882000</v>
      </c>
      <c r="Q78" s="16" t="str">
        <f>ROUND(AA78*Lookups!$O$3,0)&amp;" - "&amp;ROUND(AB78*Lookups!$O$3,0)&amp;" km/h"</f>
        <v>32 - 56 km/h</v>
      </c>
      <c r="R78" s="22">
        <f>IF(ISNUMBER(SEARCH("meters",W78)),ROUND(VALUE(SUBSTITUTE(LEFT(W78,FIND(" ",W78)-1),",",""))/Lookups!$O$4,0),ROUND(VALUE(LEFT(W78,FIND(" ",W78)-1))*Lookups!$O$3,0))</f>
        <v>64</v>
      </c>
      <c r="S78" s="16" t="s">
        <v>108</v>
      </c>
      <c r="T78" s="16" t="s">
        <v>109</v>
      </c>
      <c r="U78" s="16" t="s">
        <v>92</v>
      </c>
      <c r="V78" s="16" t="s">
        <v>93</v>
      </c>
      <c r="W78" s="16" t="s">
        <v>94</v>
      </c>
      <c r="X78" s="16" t="s">
        <v>114</v>
      </c>
      <c r="Y78" s="16" t="s">
        <v>111</v>
      </c>
      <c r="Z78" s="16" t="s">
        <v>115</v>
      </c>
      <c r="AA78" s="16">
        <f>IF(U78="",INDEX(Lookups!$J$3:$J$5,MATCH(E78,Lookups!$I$3:$I$5,0)),VALUE(LEFT(U78,FIND(" ",U78)-1)))</f>
        <v>20</v>
      </c>
      <c r="AB78" s="16">
        <f t="shared" si="8"/>
        <v>35</v>
      </c>
    </row>
    <row r="79" spans="1:28" x14ac:dyDescent="0.3">
      <c r="A79" s="16">
        <v>78</v>
      </c>
      <c r="B79" s="16" t="str">
        <f t="shared" si="6"/>
        <v>Liu, Fang</v>
      </c>
      <c r="C79" s="16" t="s">
        <v>27</v>
      </c>
      <c r="D79" s="16" t="str">
        <f>"Q"&amp;ROUNDUP(MATCH(C79,Lookups!$L$3:$L$14,0)/3,0)</f>
        <v>Q3</v>
      </c>
      <c r="E79" s="16" t="s">
        <v>43</v>
      </c>
      <c r="F79" s="16" t="s">
        <v>116</v>
      </c>
      <c r="G79" s="16" t="s">
        <v>106</v>
      </c>
      <c r="H79" s="17" t="s">
        <v>107</v>
      </c>
      <c r="I79" s="16" t="str">
        <f>INDEX(Lookups!$B$3:$B$6,MATCH(Y79,Lookups!$A$3:$A$6,0))</f>
        <v>China</v>
      </c>
      <c r="J79" s="16" t="str">
        <f>INDEX(Lookups!$C$3:$C$6,MATCH(Y79,Lookups!$A$3:$A$6,0))</f>
        <v>Asia</v>
      </c>
      <c r="K79" s="16" t="str">
        <f>INDEX(Lookups!$D$3:$D$6,MATCH(Y79,Lookups!$A$3:$A$6,0))</f>
        <v>CNY</v>
      </c>
      <c r="L79" s="24">
        <v>4200</v>
      </c>
      <c r="M79" s="19">
        <f>ROUND(L79*INDEX(Lookups!$G$3:$G$5,MATCH(K79,Lookups!$F$3:$F$5,0)),0)</f>
        <v>588</v>
      </c>
      <c r="N79" s="20">
        <v>1200</v>
      </c>
      <c r="O79" s="21">
        <v>0</v>
      </c>
      <c r="P79" s="19">
        <f t="shared" si="7"/>
        <v>705600</v>
      </c>
      <c r="Q79" s="16" t="str">
        <f>ROUND(AA79*Lookups!$O$3,0)&amp;" - "&amp;ROUND(AB79*Lookups!$O$3,0)&amp;" km/h"</f>
        <v>29 - 45 km/h</v>
      </c>
      <c r="R79" s="22">
        <f>IF(ISNUMBER(SEARCH("meters",W79)),ROUND(VALUE(SUBSTITUTE(LEFT(W79,FIND(" ",W79)-1),",",""))/Lookups!$O$4,0),ROUND(VALUE(LEFT(W79,FIND(" ",W79)-1))*Lookups!$O$3,0))</f>
        <v>40</v>
      </c>
      <c r="S79" s="16" t="s">
        <v>108</v>
      </c>
      <c r="T79" s="16" t="s">
        <v>109</v>
      </c>
      <c r="U79" s="16" t="s">
        <v>99</v>
      </c>
      <c r="V79" s="16" t="s">
        <v>100</v>
      </c>
      <c r="W79" s="16" t="s">
        <v>101</v>
      </c>
      <c r="X79" s="16" t="s">
        <v>118</v>
      </c>
      <c r="Y79" s="16" t="s">
        <v>111</v>
      </c>
      <c r="Z79" s="16" t="s">
        <v>119</v>
      </c>
      <c r="AA79" s="16">
        <f>IF(U79="",INDEX(Lookups!$J$3:$J$5,MATCH(E79,Lookups!$I$3:$I$5,0)),VALUE(LEFT(U79,FIND(" ",U79)-1)))</f>
        <v>18</v>
      </c>
      <c r="AB79" s="16">
        <f t="shared" si="8"/>
        <v>28</v>
      </c>
    </row>
    <row r="80" spans="1:28" x14ac:dyDescent="0.3">
      <c r="A80" s="16">
        <v>79</v>
      </c>
      <c r="B80" s="16" t="str">
        <f t="shared" si="6"/>
        <v>Fischer, Jonas</v>
      </c>
      <c r="C80" s="16" t="s">
        <v>27</v>
      </c>
      <c r="D80" s="16" t="str">
        <f>"Q"&amp;ROUNDUP(MATCH(C80,Lookups!$L$3:$L$14,0)/3,0)</f>
        <v>Q3</v>
      </c>
      <c r="E80" s="16" t="s">
        <v>41</v>
      </c>
      <c r="F80" s="16" t="s">
        <v>120</v>
      </c>
      <c r="G80" s="16" t="s">
        <v>121</v>
      </c>
      <c r="H80" s="17" t="s">
        <v>122</v>
      </c>
      <c r="I80" s="16" t="str">
        <f>INDEX(Lookups!$B$3:$B$6,MATCH(Y80,Lookups!$A$3:$A$6,0))</f>
        <v>Germany</v>
      </c>
      <c r="J80" s="16" t="str">
        <f>INDEX(Lookups!$C$3:$C$6,MATCH(Y80,Lookups!$A$3:$A$6,0))</f>
        <v>Europe</v>
      </c>
      <c r="K80" s="16" t="str">
        <f>INDEX(Lookups!$D$3:$D$6,MATCH(Y80,Lookups!$A$3:$A$6,0))</f>
        <v>EUR</v>
      </c>
      <c r="L80" s="25">
        <v>1000</v>
      </c>
      <c r="M80" s="19">
        <f>ROUND(L80*INDEX(Lookups!$G$3:$G$5,MATCH(K80,Lookups!$F$3:$F$5,0)),0)</f>
        <v>1080</v>
      </c>
      <c r="N80" s="20">
        <v>200</v>
      </c>
      <c r="O80" s="21">
        <v>0</v>
      </c>
      <c r="P80" s="19">
        <f t="shared" si="7"/>
        <v>216000</v>
      </c>
      <c r="Q80" s="16" t="str">
        <f>ROUND(AA80*Lookups!$O$3,0)&amp;" - "&amp;ROUND(AB80*Lookups!$O$3,0)&amp;" km/h"</f>
        <v>24 - 48 km/h</v>
      </c>
      <c r="R80" s="22">
        <f>IF(ISNUMBER(SEARCH("meters",W80)),ROUND(VALUE(SUBSTITUTE(LEFT(W80,FIND(" ",W80)-1),",",""))/Lookups!$O$4,0),ROUND(VALUE(LEFT(W80,FIND(" ",W80)-1))*Lookups!$O$3,0))</f>
        <v>48</v>
      </c>
      <c r="S80" s="16" t="s">
        <v>123</v>
      </c>
      <c r="T80" s="16" t="s">
        <v>124</v>
      </c>
      <c r="U80" s="16" t="s">
        <v>84</v>
      </c>
      <c r="V80" s="16" t="s">
        <v>85</v>
      </c>
      <c r="W80" s="16" t="s">
        <v>86</v>
      </c>
      <c r="X80" s="16" t="s">
        <v>126</v>
      </c>
      <c r="Y80" s="16" t="s">
        <v>127</v>
      </c>
      <c r="Z80" s="16" t="s">
        <v>128</v>
      </c>
      <c r="AA80" s="16">
        <f>IF(U80="",INDEX(Lookups!$J$3:$J$5,MATCH(E80,Lookups!$I$3:$I$5,0)),VALUE(LEFT(U80,FIND(" ",U80)-1)))</f>
        <v>15</v>
      </c>
      <c r="AB80" s="16">
        <f t="shared" si="8"/>
        <v>30</v>
      </c>
    </row>
    <row r="81" spans="1:28" x14ac:dyDescent="0.3">
      <c r="A81" s="16">
        <v>80</v>
      </c>
      <c r="B81" s="16" t="str">
        <f t="shared" si="6"/>
        <v>Fischer, Jonas</v>
      </c>
      <c r="C81" s="16" t="s">
        <v>27</v>
      </c>
      <c r="D81" s="16" t="str">
        <f>"Q"&amp;ROUNDUP(MATCH(C81,Lookups!$L$3:$L$14,0)/3,0)</f>
        <v>Q3</v>
      </c>
      <c r="E81" s="16" t="s">
        <v>42</v>
      </c>
      <c r="F81" s="16" t="s">
        <v>129</v>
      </c>
      <c r="G81" s="16" t="s">
        <v>121</v>
      </c>
      <c r="H81" s="17" t="s">
        <v>122</v>
      </c>
      <c r="I81" s="16" t="str">
        <f>INDEX(Lookups!$B$3:$B$6,MATCH(Y81,Lookups!$A$3:$A$6,0))</f>
        <v>Germany</v>
      </c>
      <c r="J81" s="16" t="str">
        <f>INDEX(Lookups!$C$3:$C$6,MATCH(Y81,Lookups!$A$3:$A$6,0))</f>
        <v>Europe</v>
      </c>
      <c r="K81" s="16" t="str">
        <f>INDEX(Lookups!$D$3:$D$6,MATCH(Y81,Lookups!$A$3:$A$6,0))</f>
        <v>EUR</v>
      </c>
      <c r="L81" s="25">
        <v>800</v>
      </c>
      <c r="M81" s="19">
        <f>ROUND(L81*INDEX(Lookups!$G$3:$G$5,MATCH(K81,Lookups!$F$3:$F$5,0)),0)</f>
        <v>864</v>
      </c>
      <c r="N81" s="20">
        <v>350</v>
      </c>
      <c r="O81" s="21">
        <v>0</v>
      </c>
      <c r="P81" s="19">
        <f t="shared" si="7"/>
        <v>302400</v>
      </c>
      <c r="Q81" s="16" t="str">
        <f>ROUND(AA81*Lookups!$O$3,0)&amp;" - "&amp;ROUND(AB81*Lookups!$O$3,0)&amp;" km/h"</f>
        <v>32 - 56 km/h</v>
      </c>
      <c r="R81" s="22">
        <f>IF(ISNUMBER(SEARCH("meters",W81)),ROUND(VALUE(SUBSTITUTE(LEFT(W81,FIND(" ",W81)-1),",",""))/Lookups!$O$4,0),ROUND(VALUE(LEFT(W81,FIND(" ",W81)-1))*Lookups!$O$3,0))</f>
        <v>64</v>
      </c>
      <c r="S81" s="16" t="s">
        <v>123</v>
      </c>
      <c r="T81" s="16" t="s">
        <v>124</v>
      </c>
      <c r="U81" s="16" t="s">
        <v>92</v>
      </c>
      <c r="V81" s="16" t="s">
        <v>93</v>
      </c>
      <c r="W81" s="16" t="s">
        <v>94</v>
      </c>
      <c r="X81" s="16" t="s">
        <v>130</v>
      </c>
      <c r="Y81" s="16" t="s">
        <v>127</v>
      </c>
      <c r="Z81" s="16" t="s">
        <v>131</v>
      </c>
      <c r="AA81" s="16">
        <f>IF(U81="",INDEX(Lookups!$J$3:$J$5,MATCH(E81,Lookups!$I$3:$I$5,0)),VALUE(LEFT(U81,FIND(" ",U81)-1)))</f>
        <v>20</v>
      </c>
      <c r="AB81" s="16">
        <f t="shared" si="8"/>
        <v>35</v>
      </c>
    </row>
    <row r="82" spans="1:28" x14ac:dyDescent="0.3">
      <c r="A82" s="16">
        <v>81</v>
      </c>
      <c r="B82" s="16" t="str">
        <f t="shared" si="6"/>
        <v>Fischer, Jonas</v>
      </c>
      <c r="C82" s="16" t="s">
        <v>27</v>
      </c>
      <c r="D82" s="16" t="str">
        <f>"Q"&amp;ROUNDUP(MATCH(C82,Lookups!$L$3:$L$14,0)/3,0)</f>
        <v>Q3</v>
      </c>
      <c r="E82" s="16" t="s">
        <v>43</v>
      </c>
      <c r="F82" s="16" t="s">
        <v>132</v>
      </c>
      <c r="G82" s="16" t="s">
        <v>121</v>
      </c>
      <c r="H82" s="17" t="s">
        <v>122</v>
      </c>
      <c r="I82" s="16" t="str">
        <f>INDEX(Lookups!$B$3:$B$6,MATCH(Y82,Lookups!$A$3:$A$6,0))</f>
        <v>Germany</v>
      </c>
      <c r="J82" s="16" t="str">
        <f>INDEX(Lookups!$C$3:$C$6,MATCH(Y82,Lookups!$A$3:$A$6,0))</f>
        <v>Europe</v>
      </c>
      <c r="K82" s="16" t="str">
        <f>INDEX(Lookups!$D$3:$D$6,MATCH(Y82,Lookups!$A$3:$A$6,0))</f>
        <v>EUR</v>
      </c>
      <c r="L82" s="25">
        <v>950</v>
      </c>
      <c r="M82" s="19">
        <f>ROUND(L82*INDEX(Lookups!$G$3:$G$5,MATCH(K82,Lookups!$F$3:$F$5,0)),0)</f>
        <v>1026</v>
      </c>
      <c r="N82" s="20">
        <v>250</v>
      </c>
      <c r="O82" s="21">
        <v>0</v>
      </c>
      <c r="P82" s="19">
        <f t="shared" si="7"/>
        <v>256500</v>
      </c>
      <c r="Q82" s="16" t="str">
        <f>ROUND(AA82*Lookups!$O$3,0)&amp;" - "&amp;ROUND(AB82*Lookups!$O$3,0)&amp;" km/h"</f>
        <v>29 - 45 km/h</v>
      </c>
      <c r="R82" s="22">
        <f>IF(ISNUMBER(SEARCH("meters",W82)),ROUND(VALUE(SUBSTITUTE(LEFT(W82,FIND(" ",W82)-1),",",""))/Lookups!$O$4,0),ROUND(VALUE(LEFT(W82,FIND(" ",W82)-1))*Lookups!$O$3,0))</f>
        <v>40</v>
      </c>
      <c r="S82" s="16" t="s">
        <v>123</v>
      </c>
      <c r="T82" s="16" t="s">
        <v>124</v>
      </c>
      <c r="U82" s="16" t="s">
        <v>99</v>
      </c>
      <c r="V82" s="16" t="s">
        <v>100</v>
      </c>
      <c r="W82" s="16" t="s">
        <v>101</v>
      </c>
      <c r="X82" s="16" t="s">
        <v>133</v>
      </c>
      <c r="Y82" s="16" t="s">
        <v>127</v>
      </c>
      <c r="Z82" s="16" t="s">
        <v>134</v>
      </c>
      <c r="AA82" s="16">
        <f>IF(U82="",INDEX(Lookups!$J$3:$J$5,MATCH(E82,Lookups!$I$3:$I$5,0)),VALUE(LEFT(U82,FIND(" ",U82)-1)))</f>
        <v>18</v>
      </c>
      <c r="AB82" s="16">
        <f t="shared" si="8"/>
        <v>28</v>
      </c>
    </row>
    <row r="83" spans="1:28" x14ac:dyDescent="0.3">
      <c r="A83" s="16">
        <v>82</v>
      </c>
      <c r="B83" s="16" t="str">
        <f t="shared" si="6"/>
        <v>Bernard, Théo</v>
      </c>
      <c r="C83" s="16" t="s">
        <v>27</v>
      </c>
      <c r="D83" s="16" t="str">
        <f>"Q"&amp;ROUNDUP(MATCH(C83,Lookups!$L$3:$L$14,0)/3,0)</f>
        <v>Q3</v>
      </c>
      <c r="E83" s="16" t="s">
        <v>41</v>
      </c>
      <c r="F83" s="16" t="s">
        <v>135</v>
      </c>
      <c r="G83" s="16" t="s">
        <v>136</v>
      </c>
      <c r="H83" s="17" t="s">
        <v>137</v>
      </c>
      <c r="I83" s="16" t="str">
        <f>INDEX(Lookups!$B$3:$B$6,MATCH(Y83,Lookups!$A$3:$A$6,0))</f>
        <v>France</v>
      </c>
      <c r="J83" s="16" t="str">
        <f>INDEX(Lookups!$C$3:$C$6,MATCH(Y83,Lookups!$A$3:$A$6,0))</f>
        <v>Europe</v>
      </c>
      <c r="K83" s="16" t="str">
        <f>INDEX(Lookups!$D$3:$D$6,MATCH(Y83,Lookups!$A$3:$A$6,0))</f>
        <v>EUR</v>
      </c>
      <c r="L83" s="25">
        <v>1100</v>
      </c>
      <c r="M83" s="19">
        <f>ROUND(L83*INDEX(Lookups!$G$3:$G$5,MATCH(K83,Lookups!$F$3:$F$5,0)),0)</f>
        <v>1188</v>
      </c>
      <c r="N83" s="20">
        <v>160</v>
      </c>
      <c r="O83" s="21">
        <v>0</v>
      </c>
      <c r="P83" s="19">
        <f t="shared" si="7"/>
        <v>190080</v>
      </c>
      <c r="Q83" s="16" t="str">
        <f>ROUND(AA83*Lookups!$O$3,0)&amp;" - "&amp;ROUND(AB83*Lookups!$O$3,0)&amp;" km/h"</f>
        <v>24 - 48 km/h</v>
      </c>
      <c r="R83" s="22">
        <f>IF(ISNUMBER(SEARCH("meters",W83)),ROUND(VALUE(SUBSTITUTE(LEFT(W83,FIND(" ",W83)-1),",",""))/Lookups!$O$4,0),ROUND(VALUE(LEFT(W83,FIND(" ",W83)-1))*Lookups!$O$3,0))</f>
        <v>48</v>
      </c>
      <c r="S83" s="16" t="s">
        <v>138</v>
      </c>
      <c r="T83" s="16" t="s">
        <v>139</v>
      </c>
      <c r="U83" s="16" t="s">
        <v>84</v>
      </c>
      <c r="V83" s="16" t="s">
        <v>85</v>
      </c>
      <c r="W83" s="16" t="s">
        <v>86</v>
      </c>
      <c r="X83" s="16" t="s">
        <v>140</v>
      </c>
      <c r="Y83" s="16" t="s">
        <v>141</v>
      </c>
      <c r="Z83" s="16" t="s">
        <v>142</v>
      </c>
      <c r="AA83" s="16">
        <f>IF(U83="",INDEX(Lookups!$J$3:$J$5,MATCH(E83,Lookups!$I$3:$I$5,0)),VALUE(LEFT(U83,FIND(" ",U83)-1)))</f>
        <v>15</v>
      </c>
      <c r="AB83" s="16">
        <f t="shared" si="8"/>
        <v>30</v>
      </c>
    </row>
    <row r="84" spans="1:28" x14ac:dyDescent="0.3">
      <c r="A84" s="16">
        <v>83</v>
      </c>
      <c r="B84" s="16" t="str">
        <f t="shared" si="6"/>
        <v>Bernard, Théo</v>
      </c>
      <c r="C84" s="16" t="s">
        <v>27</v>
      </c>
      <c r="D84" s="16" t="str">
        <f>"Q"&amp;ROUNDUP(MATCH(C84,Lookups!$L$3:$L$14,0)/3,0)</f>
        <v>Q3</v>
      </c>
      <c r="E84" s="16" t="s">
        <v>42</v>
      </c>
      <c r="F84" s="16" t="s">
        <v>143</v>
      </c>
      <c r="G84" s="16" t="s">
        <v>136</v>
      </c>
      <c r="H84" s="17" t="s">
        <v>137</v>
      </c>
      <c r="I84" s="16" t="str">
        <f>INDEX(Lookups!$B$3:$B$6,MATCH(Y84,Lookups!$A$3:$A$6,0))</f>
        <v>France</v>
      </c>
      <c r="J84" s="16" t="str">
        <f>INDEX(Lookups!$C$3:$C$6,MATCH(Y84,Lookups!$A$3:$A$6,0))</f>
        <v>Europe</v>
      </c>
      <c r="K84" s="16" t="str">
        <f>INDEX(Lookups!$D$3:$D$6,MATCH(Y84,Lookups!$A$3:$A$6,0))</f>
        <v>EUR</v>
      </c>
      <c r="L84" s="25">
        <v>900</v>
      </c>
      <c r="M84" s="19">
        <f>ROUND(L84*INDEX(Lookups!$G$3:$G$5,MATCH(K84,Lookups!$F$3:$F$5,0)),0)</f>
        <v>972</v>
      </c>
      <c r="N84" s="20">
        <v>320</v>
      </c>
      <c r="O84" s="21">
        <v>0</v>
      </c>
      <c r="P84" s="19">
        <f t="shared" si="7"/>
        <v>311040</v>
      </c>
      <c r="Q84" s="16" t="str">
        <f>ROUND(AA84*Lookups!$O$3,0)&amp;" - "&amp;ROUND(AB84*Lookups!$O$3,0)&amp;" km/h"</f>
        <v>32 - 56 km/h</v>
      </c>
      <c r="R84" s="22">
        <f>IF(ISNUMBER(SEARCH("meters",W84)),ROUND(VALUE(SUBSTITUTE(LEFT(W84,FIND(" ",W84)-1),",",""))/Lookups!$O$4,0),ROUND(VALUE(LEFT(W84,FIND(" ",W84)-1))*Lookups!$O$3,0))</f>
        <v>64</v>
      </c>
      <c r="S84" s="16" t="s">
        <v>138</v>
      </c>
      <c r="T84" s="16" t="s">
        <v>139</v>
      </c>
      <c r="U84" s="16" t="s">
        <v>92</v>
      </c>
      <c r="V84" s="16" t="s">
        <v>93</v>
      </c>
      <c r="W84" s="16" t="s">
        <v>94</v>
      </c>
      <c r="X84" s="16" t="s">
        <v>145</v>
      </c>
      <c r="Y84" s="16" t="s">
        <v>141</v>
      </c>
      <c r="Z84" s="16" t="s">
        <v>146</v>
      </c>
      <c r="AA84" s="16">
        <f>IF(U84="",INDEX(Lookups!$J$3:$J$5,MATCH(E84,Lookups!$I$3:$I$5,0)),VALUE(LEFT(U84,FIND(" ",U84)-1)))</f>
        <v>20</v>
      </c>
      <c r="AB84" s="16">
        <f t="shared" si="8"/>
        <v>35</v>
      </c>
    </row>
    <row r="85" spans="1:28" x14ac:dyDescent="0.3">
      <c r="A85" s="16">
        <v>84</v>
      </c>
      <c r="B85" s="16" t="str">
        <f t="shared" si="6"/>
        <v>Bernard, Théo</v>
      </c>
      <c r="C85" s="16" t="s">
        <v>27</v>
      </c>
      <c r="D85" s="16" t="str">
        <f>"Q"&amp;ROUNDUP(MATCH(C85,Lookups!$L$3:$L$14,0)/3,0)</f>
        <v>Q3</v>
      </c>
      <c r="E85" s="16" t="s">
        <v>43</v>
      </c>
      <c r="F85" s="16" t="s">
        <v>147</v>
      </c>
      <c r="G85" s="16" t="s">
        <v>136</v>
      </c>
      <c r="H85" s="17" t="s">
        <v>137</v>
      </c>
      <c r="I85" s="16" t="str">
        <f>INDEX(Lookups!$B$3:$B$6,MATCH(Y85,Lookups!$A$3:$A$6,0))</f>
        <v>France</v>
      </c>
      <c r="J85" s="16" t="str">
        <f>INDEX(Lookups!$C$3:$C$6,MATCH(Y85,Lookups!$A$3:$A$6,0))</f>
        <v>Europe</v>
      </c>
      <c r="K85" s="16" t="str">
        <f>INDEX(Lookups!$D$3:$D$6,MATCH(Y85,Lookups!$A$3:$A$6,0))</f>
        <v>EUR</v>
      </c>
      <c r="L85" s="25">
        <v>1050</v>
      </c>
      <c r="M85" s="19">
        <f>ROUND(L85*INDEX(Lookups!$G$3:$G$5,MATCH(K85,Lookups!$F$3:$F$5,0)),0)</f>
        <v>1134</v>
      </c>
      <c r="N85" s="20">
        <v>300</v>
      </c>
      <c r="O85" s="21">
        <v>0</v>
      </c>
      <c r="P85" s="19">
        <f t="shared" si="7"/>
        <v>340200</v>
      </c>
      <c r="Q85" s="16" t="str">
        <f>ROUND(AA85*Lookups!$O$3,0)&amp;" - "&amp;ROUND(AB85*Lookups!$O$3,0)&amp;" km/h"</f>
        <v>29 - 45 km/h</v>
      </c>
      <c r="R85" s="22">
        <f>IF(ISNUMBER(SEARCH("meters",W85)),ROUND(VALUE(SUBSTITUTE(LEFT(W85,FIND(" ",W85)-1),",",""))/Lookups!$O$4,0),ROUND(VALUE(LEFT(W85,FIND(" ",W85)-1))*Lookups!$O$3,0))</f>
        <v>40</v>
      </c>
      <c r="S85" s="16" t="s">
        <v>138</v>
      </c>
      <c r="T85" s="16" t="s">
        <v>139</v>
      </c>
      <c r="U85" s="16" t="s">
        <v>99</v>
      </c>
      <c r="V85" s="16" t="s">
        <v>100</v>
      </c>
      <c r="W85" s="16" t="s">
        <v>101</v>
      </c>
      <c r="X85" s="16" t="s">
        <v>148</v>
      </c>
      <c r="Y85" s="16" t="s">
        <v>141</v>
      </c>
      <c r="Z85" s="16" t="s">
        <v>149</v>
      </c>
      <c r="AA85" s="16">
        <f>IF(U85="",INDEX(Lookups!$J$3:$J$5,MATCH(E85,Lookups!$I$3:$I$5,0)),VALUE(LEFT(U85,FIND(" ",U85)-1)))</f>
        <v>18</v>
      </c>
      <c r="AB85" s="16">
        <f t="shared" si="8"/>
        <v>28</v>
      </c>
    </row>
    <row r="86" spans="1:28" x14ac:dyDescent="0.3">
      <c r="A86" s="16">
        <v>85</v>
      </c>
      <c r="B86" s="16" t="str">
        <f t="shared" si="6"/>
        <v>Joshi, Sanya</v>
      </c>
      <c r="C86" s="16" t="s">
        <v>28</v>
      </c>
      <c r="D86" s="16" t="str">
        <f>"Q"&amp;ROUNDUP(MATCH(C86,Lookups!$L$3:$L$14,0)/3,0)</f>
        <v>Q3</v>
      </c>
      <c r="E86" s="16" t="s">
        <v>41</v>
      </c>
      <c r="F86" s="16" t="s">
        <v>79</v>
      </c>
      <c r="G86" s="16" t="s">
        <v>80</v>
      </c>
      <c r="H86" s="17" t="s">
        <v>81</v>
      </c>
      <c r="I86" s="16" t="str">
        <f>INDEX(Lookups!$B$3:$B$6,MATCH(Y86,Lookups!$A$3:$A$6,0))</f>
        <v>India</v>
      </c>
      <c r="J86" s="16" t="str">
        <f>INDEX(Lookups!$C$3:$C$6,MATCH(Y86,Lookups!$A$3:$A$6,0))</f>
        <v>Asia</v>
      </c>
      <c r="K86" s="16" t="str">
        <f>INDEX(Lookups!$D$3:$D$6,MATCH(Y86,Lookups!$A$3:$A$6,0))</f>
        <v>INR</v>
      </c>
      <c r="L86" s="18">
        <v>30000</v>
      </c>
      <c r="M86" s="19">
        <f>ROUND(L86*INDEX(Lookups!$G$3:$G$5,MATCH(K86,Lookups!$F$3:$F$5,0)),0)</f>
        <v>360</v>
      </c>
      <c r="N86" s="20">
        <v>200</v>
      </c>
      <c r="O86" s="21">
        <v>0</v>
      </c>
      <c r="P86" s="19">
        <f t="shared" si="7"/>
        <v>72000</v>
      </c>
      <c r="Q86" s="16" t="str">
        <f>ROUND(AA86*Lookups!$O$3,0)&amp;" - "&amp;ROUND(AB86*Lookups!$O$3,0)&amp;" km/h"</f>
        <v>24 - 48 km/h</v>
      </c>
      <c r="R86" s="22">
        <f>IF(ISNUMBER(SEARCH("meters",W86)),ROUND(VALUE(SUBSTITUTE(LEFT(W86,FIND(" ",W86)-1),",",""))/Lookups!$O$4,0),ROUND(VALUE(LEFT(W86,FIND(" ",W86)-1))*Lookups!$O$3,0))</f>
        <v>48</v>
      </c>
      <c r="S86" s="16" t="s">
        <v>82</v>
      </c>
      <c r="T86" s="16" t="s">
        <v>83</v>
      </c>
      <c r="U86" s="16" t="s">
        <v>84</v>
      </c>
      <c r="V86" s="16" t="s">
        <v>85</v>
      </c>
      <c r="W86" s="16" t="s">
        <v>86</v>
      </c>
      <c r="X86" s="16" t="s">
        <v>87</v>
      </c>
      <c r="Y86" s="16" t="s">
        <v>88</v>
      </c>
      <c r="Z86" s="16" t="s">
        <v>89</v>
      </c>
      <c r="AA86" s="16">
        <f>IF(U86="",INDEX(Lookups!$J$3:$J$5,MATCH(E86,Lookups!$I$3:$I$5,0)),VALUE(LEFT(U86,FIND(" ",U86)-1)))</f>
        <v>15</v>
      </c>
      <c r="AB86" s="16">
        <f t="shared" si="8"/>
        <v>30</v>
      </c>
    </row>
    <row r="87" spans="1:28" x14ac:dyDescent="0.3">
      <c r="A87" s="16">
        <v>86</v>
      </c>
      <c r="B87" s="16" t="str">
        <f t="shared" si="6"/>
        <v>Joshi, Sanya</v>
      </c>
      <c r="C87" s="16" t="s">
        <v>28</v>
      </c>
      <c r="D87" s="16" t="str">
        <f>"Q"&amp;ROUNDUP(MATCH(C87,Lookups!$L$3:$L$14,0)/3,0)</f>
        <v>Q3</v>
      </c>
      <c r="E87" s="16" t="s">
        <v>42</v>
      </c>
      <c r="F87" s="16" t="s">
        <v>91</v>
      </c>
      <c r="G87" s="16" t="s">
        <v>80</v>
      </c>
      <c r="H87" s="17" t="s">
        <v>81</v>
      </c>
      <c r="I87" s="16" t="str">
        <f>INDEX(Lookups!$B$3:$B$6,MATCH(Y87,Lookups!$A$3:$A$6,0))</f>
        <v>India</v>
      </c>
      <c r="J87" s="16" t="str">
        <f>INDEX(Lookups!$C$3:$C$6,MATCH(Y87,Lookups!$A$3:$A$6,0))</f>
        <v>Asia</v>
      </c>
      <c r="K87" s="16" t="str">
        <f>INDEX(Lookups!$D$3:$D$6,MATCH(Y87,Lookups!$A$3:$A$6,0))</f>
        <v>INR</v>
      </c>
      <c r="L87" s="18">
        <v>25000</v>
      </c>
      <c r="M87" s="19">
        <f>ROUND(L87*INDEX(Lookups!$G$3:$G$5,MATCH(K87,Lookups!$F$3:$F$5,0)),0)</f>
        <v>300</v>
      </c>
      <c r="N87" s="20">
        <v>450</v>
      </c>
      <c r="O87" s="21">
        <v>0</v>
      </c>
      <c r="P87" s="19">
        <f t="shared" si="7"/>
        <v>135000</v>
      </c>
      <c r="Q87" s="16" t="str">
        <f>ROUND(AA87*Lookups!$O$3,0)&amp;" - "&amp;ROUND(AB87*Lookups!$O$3,0)&amp;" km/h"</f>
        <v>32 - 56 km/h</v>
      </c>
      <c r="R87" s="22">
        <f>IF(ISNUMBER(SEARCH("meters",W87)),ROUND(VALUE(SUBSTITUTE(LEFT(W87,FIND(" ",W87)-1),",",""))/Lookups!$O$4,0),ROUND(VALUE(LEFT(W87,FIND(" ",W87)-1))*Lookups!$O$3,0))</f>
        <v>64</v>
      </c>
      <c r="S87" s="16" t="s">
        <v>82</v>
      </c>
      <c r="T87" s="16" t="s">
        <v>83</v>
      </c>
      <c r="U87" s="16" t="s">
        <v>92</v>
      </c>
      <c r="V87" s="16" t="s">
        <v>93</v>
      </c>
      <c r="W87" s="16" t="s">
        <v>94</v>
      </c>
      <c r="X87" s="16" t="s">
        <v>95</v>
      </c>
      <c r="Y87" s="16" t="s">
        <v>88</v>
      </c>
      <c r="Z87" s="16" t="s">
        <v>96</v>
      </c>
      <c r="AA87" s="16">
        <f>IF(U87="",INDEX(Lookups!$J$3:$J$5,MATCH(E87,Lookups!$I$3:$I$5,0)),VALUE(LEFT(U87,FIND(" ",U87)-1)))</f>
        <v>20</v>
      </c>
      <c r="AB87" s="16">
        <f t="shared" si="8"/>
        <v>35</v>
      </c>
    </row>
    <row r="88" spans="1:28" x14ac:dyDescent="0.3">
      <c r="A88" s="16">
        <v>87</v>
      </c>
      <c r="B88" s="16" t="str">
        <f t="shared" si="6"/>
        <v>Joshi, Sanya</v>
      </c>
      <c r="C88" s="16" t="s">
        <v>28</v>
      </c>
      <c r="D88" s="16" t="str">
        <f>"Q"&amp;ROUNDUP(MATCH(C88,Lookups!$L$3:$L$14,0)/3,0)</f>
        <v>Q3</v>
      </c>
      <c r="E88" s="16" t="s">
        <v>43</v>
      </c>
      <c r="F88" s="16" t="s">
        <v>98</v>
      </c>
      <c r="G88" s="16" t="s">
        <v>80</v>
      </c>
      <c r="H88" s="17" t="s">
        <v>81</v>
      </c>
      <c r="I88" s="16" t="str">
        <f>INDEX(Lookups!$B$3:$B$6,MATCH(Y88,Lookups!$A$3:$A$6,0))</f>
        <v>India</v>
      </c>
      <c r="J88" s="16" t="str">
        <f>INDEX(Lookups!$C$3:$C$6,MATCH(Y88,Lookups!$A$3:$A$6,0))</f>
        <v>Asia</v>
      </c>
      <c r="K88" s="16" t="str">
        <f>INDEX(Lookups!$D$3:$D$6,MATCH(Y88,Lookups!$A$3:$A$6,0))</f>
        <v>INR</v>
      </c>
      <c r="L88" s="18">
        <v>22000</v>
      </c>
      <c r="M88" s="19">
        <f>ROUND(L88*INDEX(Lookups!$G$3:$G$5,MATCH(K88,Lookups!$F$3:$F$5,0)),0)</f>
        <v>264</v>
      </c>
      <c r="N88" s="20">
        <v>350</v>
      </c>
      <c r="O88" s="21">
        <v>0</v>
      </c>
      <c r="P88" s="19">
        <f t="shared" si="7"/>
        <v>92400</v>
      </c>
      <c r="Q88" s="16" t="str">
        <f>ROUND(AA88*Lookups!$O$3,0)&amp;" - "&amp;ROUND(AB88*Lookups!$O$3,0)&amp;" km/h"</f>
        <v>29 - 45 km/h</v>
      </c>
      <c r="R88" s="22">
        <f>IF(ISNUMBER(SEARCH("meters",W88)),ROUND(VALUE(SUBSTITUTE(LEFT(W88,FIND(" ",W88)-1),",",""))/Lookups!$O$4,0),ROUND(VALUE(LEFT(W88,FIND(" ",W88)-1))*Lookups!$O$3,0))</f>
        <v>40</v>
      </c>
      <c r="S88" s="16" t="s">
        <v>82</v>
      </c>
      <c r="T88" s="16" t="s">
        <v>83</v>
      </c>
      <c r="U88" s="16" t="s">
        <v>99</v>
      </c>
      <c r="V88" s="16" t="s">
        <v>100</v>
      </c>
      <c r="W88" s="16" t="s">
        <v>117</v>
      </c>
      <c r="X88" s="16" t="s">
        <v>102</v>
      </c>
      <c r="Y88" s="16" t="s">
        <v>88</v>
      </c>
      <c r="Z88" s="16" t="s">
        <v>103</v>
      </c>
      <c r="AA88" s="16">
        <f>IF(U88="",INDEX(Lookups!$J$3:$J$5,MATCH(E88,Lookups!$I$3:$I$5,0)),VALUE(LEFT(U88,FIND(" ",U88)-1)))</f>
        <v>18</v>
      </c>
      <c r="AB88" s="16">
        <f t="shared" si="8"/>
        <v>28</v>
      </c>
    </row>
    <row r="89" spans="1:28" x14ac:dyDescent="0.3">
      <c r="A89" s="16">
        <v>88</v>
      </c>
      <c r="B89" s="16" t="str">
        <f t="shared" si="6"/>
        <v>Liu, Fang</v>
      </c>
      <c r="C89" s="16" t="s">
        <v>28</v>
      </c>
      <c r="D89" s="16" t="str">
        <f>"Q"&amp;ROUNDUP(MATCH(C89,Lookups!$L$3:$L$14,0)/3,0)</f>
        <v>Q3</v>
      </c>
      <c r="E89" s="16" t="s">
        <v>41</v>
      </c>
      <c r="F89" s="16" t="s">
        <v>105</v>
      </c>
      <c r="G89" s="16" t="s">
        <v>106</v>
      </c>
      <c r="H89" s="17" t="s">
        <v>107</v>
      </c>
      <c r="I89" s="16" t="str">
        <f>INDEX(Lookups!$B$3:$B$6,MATCH(Y89,Lookups!$A$3:$A$6,0))</f>
        <v>China</v>
      </c>
      <c r="J89" s="16" t="str">
        <f>INDEX(Lookups!$C$3:$C$6,MATCH(Y89,Lookups!$A$3:$A$6,0))</f>
        <v>Asia</v>
      </c>
      <c r="K89" s="16" t="str">
        <f>INDEX(Lookups!$D$3:$D$6,MATCH(Y89,Lookups!$A$3:$A$6,0))</f>
        <v>CNY</v>
      </c>
      <c r="L89" s="24">
        <v>5000</v>
      </c>
      <c r="M89" s="19">
        <f>ROUND(L89*INDEX(Lookups!$G$3:$G$5,MATCH(K89,Lookups!$F$3:$F$5,0)),0)</f>
        <v>700</v>
      </c>
      <c r="N89" s="20">
        <v>700</v>
      </c>
      <c r="O89" s="21">
        <v>0</v>
      </c>
      <c r="P89" s="19">
        <f t="shared" si="7"/>
        <v>490000</v>
      </c>
      <c r="Q89" s="16" t="str">
        <f>ROUND(AA89*Lookups!$O$3,0)&amp;" - "&amp;ROUND(AB89*Lookups!$O$3,0)&amp;" km/h"</f>
        <v>24 - 48 km/h</v>
      </c>
      <c r="R89" s="22">
        <f>IF(ISNUMBER(SEARCH("meters",W89)),ROUND(VALUE(SUBSTITUTE(LEFT(W89,FIND(" ",W89)-1),",",""))/Lookups!$O$4,0),ROUND(VALUE(LEFT(W89,FIND(" ",W89)-1))*Lookups!$O$3,0))</f>
        <v>48</v>
      </c>
      <c r="S89" s="16" t="s">
        <v>108</v>
      </c>
      <c r="T89" s="16" t="s">
        <v>109</v>
      </c>
      <c r="U89" s="16"/>
      <c r="V89" s="16" t="s">
        <v>85</v>
      </c>
      <c r="W89" s="16" t="s">
        <v>86</v>
      </c>
      <c r="X89" s="16" t="s">
        <v>110</v>
      </c>
      <c r="Y89" s="16" t="s">
        <v>111</v>
      </c>
      <c r="Z89" s="16" t="s">
        <v>112</v>
      </c>
      <c r="AA89" s="16">
        <f>IF(U89="",INDEX(Lookups!$J$3:$J$5,MATCH(E89,Lookups!$I$3:$I$5,0)),VALUE(LEFT(U89,FIND(" ",U89)-1)))</f>
        <v>15</v>
      </c>
      <c r="AB89" s="16">
        <f t="shared" si="8"/>
        <v>30</v>
      </c>
    </row>
    <row r="90" spans="1:28" x14ac:dyDescent="0.3">
      <c r="A90" s="16">
        <v>89</v>
      </c>
      <c r="B90" s="16" t="str">
        <f t="shared" si="6"/>
        <v>Liu, Fang</v>
      </c>
      <c r="C90" s="16" t="s">
        <v>28</v>
      </c>
      <c r="D90" s="16" t="str">
        <f>"Q"&amp;ROUNDUP(MATCH(C90,Lookups!$L$3:$L$14,0)/3,0)</f>
        <v>Q3</v>
      </c>
      <c r="E90" s="16" t="s">
        <v>42</v>
      </c>
      <c r="F90" s="16" t="s">
        <v>113</v>
      </c>
      <c r="G90" s="16" t="s">
        <v>106</v>
      </c>
      <c r="H90" s="17" t="s">
        <v>107</v>
      </c>
      <c r="I90" s="16" t="str">
        <f>INDEX(Lookups!$B$3:$B$6,MATCH(Y90,Lookups!$A$3:$A$6,0))</f>
        <v>China</v>
      </c>
      <c r="J90" s="16" t="str">
        <f>INDEX(Lookups!$C$3:$C$6,MATCH(Y90,Lookups!$A$3:$A$6,0))</f>
        <v>Asia</v>
      </c>
      <c r="K90" s="16" t="str">
        <f>INDEX(Lookups!$D$3:$D$6,MATCH(Y90,Lookups!$A$3:$A$6,0))</f>
        <v>CNY</v>
      </c>
      <c r="L90" s="24">
        <v>3500</v>
      </c>
      <c r="M90" s="19">
        <f>ROUND(L90*INDEX(Lookups!$G$3:$G$5,MATCH(K90,Lookups!$F$3:$F$5,0)),0)</f>
        <v>490</v>
      </c>
      <c r="N90" s="20">
        <v>1600</v>
      </c>
      <c r="O90" s="21">
        <v>0</v>
      </c>
      <c r="P90" s="19">
        <f t="shared" si="7"/>
        <v>784000</v>
      </c>
      <c r="Q90" s="16" t="str">
        <f>ROUND(AA90*Lookups!$O$3,0)&amp;" - "&amp;ROUND(AB90*Lookups!$O$3,0)&amp;" km/h"</f>
        <v>32 - 56 km/h</v>
      </c>
      <c r="R90" s="22">
        <f>IF(ISNUMBER(SEARCH("meters",W90)),ROUND(VALUE(SUBSTITUTE(LEFT(W90,FIND(" ",W90)-1),",",""))/Lookups!$O$4,0),ROUND(VALUE(LEFT(W90,FIND(" ",W90)-1))*Lookups!$O$3,0))</f>
        <v>64</v>
      </c>
      <c r="S90" s="16" t="s">
        <v>108</v>
      </c>
      <c r="T90" s="16" t="s">
        <v>109</v>
      </c>
      <c r="U90" s="16" t="s">
        <v>92</v>
      </c>
      <c r="V90" s="16" t="s">
        <v>93</v>
      </c>
      <c r="W90" s="16" t="s">
        <v>94</v>
      </c>
      <c r="X90" s="16" t="s">
        <v>114</v>
      </c>
      <c r="Y90" s="16" t="s">
        <v>111</v>
      </c>
      <c r="Z90" s="16" t="s">
        <v>115</v>
      </c>
      <c r="AA90" s="16">
        <f>IF(U90="",INDEX(Lookups!$J$3:$J$5,MATCH(E90,Lookups!$I$3:$I$5,0)),VALUE(LEFT(U90,FIND(" ",U90)-1)))</f>
        <v>20</v>
      </c>
      <c r="AB90" s="16">
        <f t="shared" si="8"/>
        <v>35</v>
      </c>
    </row>
    <row r="91" spans="1:28" x14ac:dyDescent="0.3">
      <c r="A91" s="16">
        <v>90</v>
      </c>
      <c r="B91" s="16" t="str">
        <f t="shared" si="6"/>
        <v>Liu, Fang</v>
      </c>
      <c r="C91" s="16" t="s">
        <v>28</v>
      </c>
      <c r="D91" s="16" t="str">
        <f>"Q"&amp;ROUNDUP(MATCH(C91,Lookups!$L$3:$L$14,0)/3,0)</f>
        <v>Q3</v>
      </c>
      <c r="E91" s="16" t="s">
        <v>43</v>
      </c>
      <c r="F91" s="16" t="s">
        <v>116</v>
      </c>
      <c r="G91" s="16" t="s">
        <v>106</v>
      </c>
      <c r="H91" s="17" t="s">
        <v>107</v>
      </c>
      <c r="I91" s="16" t="str">
        <f>INDEX(Lookups!$B$3:$B$6,MATCH(Y91,Lookups!$A$3:$A$6,0))</f>
        <v>China</v>
      </c>
      <c r="J91" s="16" t="str">
        <f>INDEX(Lookups!$C$3:$C$6,MATCH(Y91,Lookups!$A$3:$A$6,0))</f>
        <v>Asia</v>
      </c>
      <c r="K91" s="16" t="str">
        <f>INDEX(Lookups!$D$3:$D$6,MATCH(Y91,Lookups!$A$3:$A$6,0))</f>
        <v>CNY</v>
      </c>
      <c r="L91" s="24">
        <v>4200</v>
      </c>
      <c r="M91" s="19">
        <f>ROUND(L91*INDEX(Lookups!$G$3:$G$5,MATCH(K91,Lookups!$F$3:$F$5,0)),0)</f>
        <v>588</v>
      </c>
      <c r="N91" s="20">
        <v>1000</v>
      </c>
      <c r="O91" s="21">
        <v>0</v>
      </c>
      <c r="P91" s="19">
        <f t="shared" si="7"/>
        <v>588000</v>
      </c>
      <c r="Q91" s="16" t="str">
        <f>ROUND(AA91*Lookups!$O$3,0)&amp;" - "&amp;ROUND(AB91*Lookups!$O$3,0)&amp;" km/h"</f>
        <v>29 - 45 km/h</v>
      </c>
      <c r="R91" s="22">
        <f>IF(ISNUMBER(SEARCH("meters",W91)),ROUND(VALUE(SUBSTITUTE(LEFT(W91,FIND(" ",W91)-1),",",""))/Lookups!$O$4,0),ROUND(VALUE(LEFT(W91,FIND(" ",W91)-1))*Lookups!$O$3,0))</f>
        <v>40</v>
      </c>
      <c r="S91" s="16" t="s">
        <v>108</v>
      </c>
      <c r="T91" s="16" t="s">
        <v>109</v>
      </c>
      <c r="U91" s="16" t="s">
        <v>99</v>
      </c>
      <c r="V91" s="16" t="s">
        <v>100</v>
      </c>
      <c r="W91" s="16" t="s">
        <v>101</v>
      </c>
      <c r="X91" s="16" t="s">
        <v>118</v>
      </c>
      <c r="Y91" s="16" t="s">
        <v>111</v>
      </c>
      <c r="Z91" s="16" t="s">
        <v>119</v>
      </c>
      <c r="AA91" s="16">
        <f>IF(U91="",INDEX(Lookups!$J$3:$J$5,MATCH(E91,Lookups!$I$3:$I$5,0)),VALUE(LEFT(U91,FIND(" ",U91)-1)))</f>
        <v>18</v>
      </c>
      <c r="AB91" s="16">
        <f t="shared" si="8"/>
        <v>28</v>
      </c>
    </row>
    <row r="92" spans="1:28" x14ac:dyDescent="0.3">
      <c r="A92" s="16">
        <v>91</v>
      </c>
      <c r="B92" s="16" t="str">
        <f t="shared" si="6"/>
        <v>Fischer, Jonas</v>
      </c>
      <c r="C92" s="16" t="s">
        <v>28</v>
      </c>
      <c r="D92" s="16" t="str">
        <f>"Q"&amp;ROUNDUP(MATCH(C92,Lookups!$L$3:$L$14,0)/3,0)</f>
        <v>Q3</v>
      </c>
      <c r="E92" s="16" t="s">
        <v>41</v>
      </c>
      <c r="F92" s="16" t="s">
        <v>120</v>
      </c>
      <c r="G92" s="16" t="s">
        <v>121</v>
      </c>
      <c r="H92" s="17" t="s">
        <v>122</v>
      </c>
      <c r="I92" s="16" t="str">
        <f>INDEX(Lookups!$B$3:$B$6,MATCH(Y92,Lookups!$A$3:$A$6,0))</f>
        <v>Germany</v>
      </c>
      <c r="J92" s="16" t="str">
        <f>INDEX(Lookups!$C$3:$C$6,MATCH(Y92,Lookups!$A$3:$A$6,0))</f>
        <v>Europe</v>
      </c>
      <c r="K92" s="16" t="str">
        <f>INDEX(Lookups!$D$3:$D$6,MATCH(Y92,Lookups!$A$3:$A$6,0))</f>
        <v>EUR</v>
      </c>
      <c r="L92" s="25">
        <v>1000</v>
      </c>
      <c r="M92" s="19">
        <f>ROUND(L92*INDEX(Lookups!$G$3:$G$5,MATCH(K92,Lookups!$F$3:$F$5,0)),0)</f>
        <v>1080</v>
      </c>
      <c r="N92" s="20">
        <v>180</v>
      </c>
      <c r="O92" s="21">
        <v>0</v>
      </c>
      <c r="P92" s="19">
        <f t="shared" si="7"/>
        <v>194400</v>
      </c>
      <c r="Q92" s="16" t="str">
        <f>ROUND(AA92*Lookups!$O$3,0)&amp;" - "&amp;ROUND(AB92*Lookups!$O$3,0)&amp;" km/h"</f>
        <v>24 - 48 km/h</v>
      </c>
      <c r="R92" s="22">
        <f>IF(ISNUMBER(SEARCH("meters",W92)),ROUND(VALUE(SUBSTITUTE(LEFT(W92,FIND(" ",W92)-1),",",""))/Lookups!$O$4,0),ROUND(VALUE(LEFT(W92,FIND(" ",W92)-1))*Lookups!$O$3,0))</f>
        <v>48</v>
      </c>
      <c r="S92" s="16" t="s">
        <v>123</v>
      </c>
      <c r="T92" s="16" t="s">
        <v>124</v>
      </c>
      <c r="U92" s="16" t="s">
        <v>84</v>
      </c>
      <c r="V92" s="16" t="s">
        <v>85</v>
      </c>
      <c r="W92" s="16" t="s">
        <v>86</v>
      </c>
      <c r="X92" s="16" t="s">
        <v>126</v>
      </c>
      <c r="Y92" s="16" t="s">
        <v>127</v>
      </c>
      <c r="Z92" s="16" t="s">
        <v>128</v>
      </c>
      <c r="AA92" s="16">
        <f>IF(U92="",INDEX(Lookups!$J$3:$J$5,MATCH(E92,Lookups!$I$3:$I$5,0)),VALUE(LEFT(U92,FIND(" ",U92)-1)))</f>
        <v>15</v>
      </c>
      <c r="AB92" s="16">
        <f t="shared" si="8"/>
        <v>30</v>
      </c>
    </row>
    <row r="93" spans="1:28" x14ac:dyDescent="0.3">
      <c r="A93" s="16">
        <v>92</v>
      </c>
      <c r="B93" s="16" t="str">
        <f t="shared" si="6"/>
        <v>Fischer, Jonas</v>
      </c>
      <c r="C93" s="16" t="s">
        <v>28</v>
      </c>
      <c r="D93" s="16" t="str">
        <f>"Q"&amp;ROUNDUP(MATCH(C93,Lookups!$L$3:$L$14,0)/3,0)</f>
        <v>Q3</v>
      </c>
      <c r="E93" s="16" t="s">
        <v>42</v>
      </c>
      <c r="F93" s="16" t="s">
        <v>129</v>
      </c>
      <c r="G93" s="16" t="s">
        <v>121</v>
      </c>
      <c r="H93" s="17" t="s">
        <v>122</v>
      </c>
      <c r="I93" s="16" t="str">
        <f>INDEX(Lookups!$B$3:$B$6,MATCH(Y93,Lookups!$A$3:$A$6,0))</f>
        <v>Germany</v>
      </c>
      <c r="J93" s="16" t="str">
        <f>INDEX(Lookups!$C$3:$C$6,MATCH(Y93,Lookups!$A$3:$A$6,0))</f>
        <v>Europe</v>
      </c>
      <c r="K93" s="16" t="str">
        <f>INDEX(Lookups!$D$3:$D$6,MATCH(Y93,Lookups!$A$3:$A$6,0))</f>
        <v>EUR</v>
      </c>
      <c r="L93" s="25">
        <v>800</v>
      </c>
      <c r="M93" s="19">
        <f>ROUND(L93*INDEX(Lookups!$G$3:$G$5,MATCH(K93,Lookups!$F$3:$F$5,0)),0)</f>
        <v>864</v>
      </c>
      <c r="N93" s="20">
        <v>300</v>
      </c>
      <c r="O93" s="21">
        <v>0</v>
      </c>
      <c r="P93" s="19">
        <f t="shared" si="7"/>
        <v>259200</v>
      </c>
      <c r="Q93" s="16" t="str">
        <f>ROUND(AA93*Lookups!$O$3,0)&amp;" - "&amp;ROUND(AB93*Lookups!$O$3,0)&amp;" km/h"</f>
        <v>32 - 56 km/h</v>
      </c>
      <c r="R93" s="22">
        <f>IF(ISNUMBER(SEARCH("meters",W93)),ROUND(VALUE(SUBSTITUTE(LEFT(W93,FIND(" ",W93)-1),",",""))/Lookups!$O$4,0),ROUND(VALUE(LEFT(W93,FIND(" ",W93)-1))*Lookups!$O$3,0))</f>
        <v>64</v>
      </c>
      <c r="S93" s="16" t="s">
        <v>123</v>
      </c>
      <c r="T93" s="16" t="s">
        <v>124</v>
      </c>
      <c r="U93" s="16" t="s">
        <v>92</v>
      </c>
      <c r="V93" s="16" t="s">
        <v>93</v>
      </c>
      <c r="W93" s="16" t="s">
        <v>144</v>
      </c>
      <c r="X93" s="16" t="s">
        <v>130</v>
      </c>
      <c r="Y93" s="16" t="s">
        <v>127</v>
      </c>
      <c r="Z93" s="16" t="s">
        <v>131</v>
      </c>
      <c r="AA93" s="16">
        <f>IF(U93="",INDEX(Lookups!$J$3:$J$5,MATCH(E93,Lookups!$I$3:$I$5,0)),VALUE(LEFT(U93,FIND(" ",U93)-1)))</f>
        <v>20</v>
      </c>
      <c r="AB93" s="16">
        <f t="shared" si="8"/>
        <v>35</v>
      </c>
    </row>
    <row r="94" spans="1:28" x14ac:dyDescent="0.3">
      <c r="A94" s="16">
        <v>93</v>
      </c>
      <c r="B94" s="16" t="str">
        <f t="shared" si="6"/>
        <v>Fischer, Jonas</v>
      </c>
      <c r="C94" s="16" t="s">
        <v>28</v>
      </c>
      <c r="D94" s="16" t="str">
        <f>"Q"&amp;ROUNDUP(MATCH(C94,Lookups!$L$3:$L$14,0)/3,0)</f>
        <v>Q3</v>
      </c>
      <c r="E94" s="16" t="s">
        <v>43</v>
      </c>
      <c r="F94" s="16" t="s">
        <v>132</v>
      </c>
      <c r="G94" s="16" t="s">
        <v>121</v>
      </c>
      <c r="H94" s="17" t="s">
        <v>122</v>
      </c>
      <c r="I94" s="16" t="str">
        <f>INDEX(Lookups!$B$3:$B$6,MATCH(Y94,Lookups!$A$3:$A$6,0))</f>
        <v>Germany</v>
      </c>
      <c r="J94" s="16" t="str">
        <f>INDEX(Lookups!$C$3:$C$6,MATCH(Y94,Lookups!$A$3:$A$6,0))</f>
        <v>Europe</v>
      </c>
      <c r="K94" s="16" t="str">
        <f>INDEX(Lookups!$D$3:$D$6,MATCH(Y94,Lookups!$A$3:$A$6,0))</f>
        <v>EUR</v>
      </c>
      <c r="L94" s="25">
        <v>950</v>
      </c>
      <c r="M94" s="19">
        <f>ROUND(L94*INDEX(Lookups!$G$3:$G$5,MATCH(K94,Lookups!$F$3:$F$5,0)),0)</f>
        <v>1026</v>
      </c>
      <c r="N94" s="20">
        <v>230</v>
      </c>
      <c r="O94" s="21">
        <v>0</v>
      </c>
      <c r="P94" s="19">
        <f t="shared" si="7"/>
        <v>235980</v>
      </c>
      <c r="Q94" s="16" t="str">
        <f>ROUND(AA94*Lookups!$O$3,0)&amp;" - "&amp;ROUND(AB94*Lookups!$O$3,0)&amp;" km/h"</f>
        <v>29 - 45 km/h</v>
      </c>
      <c r="R94" s="22">
        <f>IF(ISNUMBER(SEARCH("meters",W94)),ROUND(VALUE(SUBSTITUTE(LEFT(W94,FIND(" ",W94)-1),",",""))/Lookups!$O$4,0),ROUND(VALUE(LEFT(W94,FIND(" ",W94)-1))*Lookups!$O$3,0))</f>
        <v>40</v>
      </c>
      <c r="S94" s="16" t="s">
        <v>123</v>
      </c>
      <c r="T94" s="16" t="s">
        <v>124</v>
      </c>
      <c r="U94" s="16" t="s">
        <v>99</v>
      </c>
      <c r="V94" s="16" t="s">
        <v>100</v>
      </c>
      <c r="W94" s="16" t="s">
        <v>101</v>
      </c>
      <c r="X94" s="16" t="s">
        <v>133</v>
      </c>
      <c r="Y94" s="16" t="s">
        <v>127</v>
      </c>
      <c r="Z94" s="16" t="s">
        <v>134</v>
      </c>
      <c r="AA94" s="16">
        <f>IF(U94="",INDEX(Lookups!$J$3:$J$5,MATCH(E94,Lookups!$I$3:$I$5,0)),VALUE(LEFT(U94,FIND(" ",U94)-1)))</f>
        <v>18</v>
      </c>
      <c r="AB94" s="16">
        <f t="shared" si="8"/>
        <v>28</v>
      </c>
    </row>
    <row r="95" spans="1:28" x14ac:dyDescent="0.3">
      <c r="A95" s="16">
        <v>94</v>
      </c>
      <c r="B95" s="16" t="str">
        <f t="shared" si="6"/>
        <v>Bernard, Théo</v>
      </c>
      <c r="C95" s="16" t="s">
        <v>28</v>
      </c>
      <c r="D95" s="16" t="str">
        <f>"Q"&amp;ROUNDUP(MATCH(C95,Lookups!$L$3:$L$14,0)/3,0)</f>
        <v>Q3</v>
      </c>
      <c r="E95" s="16" t="s">
        <v>41</v>
      </c>
      <c r="F95" s="16" t="s">
        <v>135</v>
      </c>
      <c r="G95" s="16" t="s">
        <v>136</v>
      </c>
      <c r="H95" s="17" t="s">
        <v>137</v>
      </c>
      <c r="I95" s="16" t="str">
        <f>INDEX(Lookups!$B$3:$B$6,MATCH(Y95,Lookups!$A$3:$A$6,0))</f>
        <v>France</v>
      </c>
      <c r="J95" s="16" t="str">
        <f>INDEX(Lookups!$C$3:$C$6,MATCH(Y95,Lookups!$A$3:$A$6,0))</f>
        <v>Europe</v>
      </c>
      <c r="K95" s="16" t="str">
        <f>INDEX(Lookups!$D$3:$D$6,MATCH(Y95,Lookups!$A$3:$A$6,0))</f>
        <v>EUR</v>
      </c>
      <c r="L95" s="25">
        <v>1100</v>
      </c>
      <c r="M95" s="19">
        <f>ROUND(L95*INDEX(Lookups!$G$3:$G$5,MATCH(K95,Lookups!$F$3:$F$5,0)),0)</f>
        <v>1188</v>
      </c>
      <c r="N95" s="20">
        <v>150</v>
      </c>
      <c r="O95" s="21">
        <v>0</v>
      </c>
      <c r="P95" s="19">
        <f t="shared" si="7"/>
        <v>178200</v>
      </c>
      <c r="Q95" s="16" t="str">
        <f>ROUND(AA95*Lookups!$O$3,0)&amp;" - "&amp;ROUND(AB95*Lookups!$O$3,0)&amp;" km/h"</f>
        <v>24 - 48 km/h</v>
      </c>
      <c r="R95" s="22">
        <f>IF(ISNUMBER(SEARCH("meters",W95)),ROUND(VALUE(SUBSTITUTE(LEFT(W95,FIND(" ",W95)-1),",",""))/Lookups!$O$4,0),ROUND(VALUE(LEFT(W95,FIND(" ",W95)-1))*Lookups!$O$3,0))</f>
        <v>48</v>
      </c>
      <c r="S95" s="16" t="s">
        <v>138</v>
      </c>
      <c r="T95" s="16" t="s">
        <v>139</v>
      </c>
      <c r="U95" s="16" t="s">
        <v>84</v>
      </c>
      <c r="V95" s="16" t="s">
        <v>85</v>
      </c>
      <c r="W95" s="16" t="s">
        <v>86</v>
      </c>
      <c r="X95" s="16" t="s">
        <v>140</v>
      </c>
      <c r="Y95" s="16" t="s">
        <v>141</v>
      </c>
      <c r="Z95" s="16" t="s">
        <v>142</v>
      </c>
      <c r="AA95" s="16">
        <f>IF(U95="",INDEX(Lookups!$J$3:$J$5,MATCH(E95,Lookups!$I$3:$I$5,0)),VALUE(LEFT(U95,FIND(" ",U95)-1)))</f>
        <v>15</v>
      </c>
      <c r="AB95" s="16">
        <f t="shared" si="8"/>
        <v>30</v>
      </c>
    </row>
    <row r="96" spans="1:28" x14ac:dyDescent="0.3">
      <c r="A96" s="16">
        <v>95</v>
      </c>
      <c r="B96" s="16" t="str">
        <f t="shared" si="6"/>
        <v>Bernard, Théo</v>
      </c>
      <c r="C96" s="16" t="s">
        <v>28</v>
      </c>
      <c r="D96" s="16" t="str">
        <f>"Q"&amp;ROUNDUP(MATCH(C96,Lookups!$L$3:$L$14,0)/3,0)</f>
        <v>Q3</v>
      </c>
      <c r="E96" s="16" t="s">
        <v>42</v>
      </c>
      <c r="F96" s="16" t="s">
        <v>143</v>
      </c>
      <c r="G96" s="16" t="s">
        <v>136</v>
      </c>
      <c r="H96" s="17" t="s">
        <v>137</v>
      </c>
      <c r="I96" s="16" t="str">
        <f>INDEX(Lookups!$B$3:$B$6,MATCH(Y96,Lookups!$A$3:$A$6,0))</f>
        <v>France</v>
      </c>
      <c r="J96" s="16" t="str">
        <f>INDEX(Lookups!$C$3:$C$6,MATCH(Y96,Lookups!$A$3:$A$6,0))</f>
        <v>Europe</v>
      </c>
      <c r="K96" s="16" t="str">
        <f>INDEX(Lookups!$D$3:$D$6,MATCH(Y96,Lookups!$A$3:$A$6,0))</f>
        <v>EUR</v>
      </c>
      <c r="L96" s="25">
        <v>900</v>
      </c>
      <c r="M96" s="19">
        <f>ROUND(L96*INDEX(Lookups!$G$3:$G$5,MATCH(K96,Lookups!$F$3:$F$5,0)),0)</f>
        <v>972</v>
      </c>
      <c r="N96" s="20">
        <v>280</v>
      </c>
      <c r="O96" s="21">
        <v>0</v>
      </c>
      <c r="P96" s="19">
        <f t="shared" si="7"/>
        <v>272160</v>
      </c>
      <c r="Q96" s="16" t="str">
        <f>ROUND(AA96*Lookups!$O$3,0)&amp;" - "&amp;ROUND(AB96*Lookups!$O$3,0)&amp;" km/h"</f>
        <v>32 - 56 km/h</v>
      </c>
      <c r="R96" s="22">
        <f>IF(ISNUMBER(SEARCH("meters",W96)),ROUND(VALUE(SUBSTITUTE(LEFT(W96,FIND(" ",W96)-1),",",""))/Lookups!$O$4,0),ROUND(VALUE(LEFT(W96,FIND(" ",W96)-1))*Lookups!$O$3,0))</f>
        <v>64</v>
      </c>
      <c r="S96" s="16" t="s">
        <v>138</v>
      </c>
      <c r="T96" s="16" t="s">
        <v>139</v>
      </c>
      <c r="U96" s="16" t="s">
        <v>92</v>
      </c>
      <c r="V96" s="16" t="s">
        <v>93</v>
      </c>
      <c r="W96" s="16" t="s">
        <v>94</v>
      </c>
      <c r="X96" s="16" t="s">
        <v>145</v>
      </c>
      <c r="Y96" s="16" t="s">
        <v>141</v>
      </c>
      <c r="Z96" s="16" t="s">
        <v>146</v>
      </c>
      <c r="AA96" s="16">
        <f>IF(U96="",INDEX(Lookups!$J$3:$J$5,MATCH(E96,Lookups!$I$3:$I$5,0)),VALUE(LEFT(U96,FIND(" ",U96)-1)))</f>
        <v>20</v>
      </c>
      <c r="AB96" s="16">
        <f t="shared" si="8"/>
        <v>35</v>
      </c>
    </row>
    <row r="97" spans="1:28" x14ac:dyDescent="0.3">
      <c r="A97" s="16">
        <v>96</v>
      </c>
      <c r="B97" s="16" t="str">
        <f t="shared" si="6"/>
        <v>Bernard, Théo</v>
      </c>
      <c r="C97" s="16" t="s">
        <v>28</v>
      </c>
      <c r="D97" s="16" t="str">
        <f>"Q"&amp;ROUNDUP(MATCH(C97,Lookups!$L$3:$L$14,0)/3,0)</f>
        <v>Q3</v>
      </c>
      <c r="E97" s="16" t="s">
        <v>43</v>
      </c>
      <c r="F97" s="16" t="s">
        <v>147</v>
      </c>
      <c r="G97" s="16" t="s">
        <v>136</v>
      </c>
      <c r="H97" s="17" t="s">
        <v>137</v>
      </c>
      <c r="I97" s="16" t="str">
        <f>INDEX(Lookups!$B$3:$B$6,MATCH(Y97,Lookups!$A$3:$A$6,0))</f>
        <v>France</v>
      </c>
      <c r="J97" s="16" t="str">
        <f>INDEX(Lookups!$C$3:$C$6,MATCH(Y97,Lookups!$A$3:$A$6,0))</f>
        <v>Europe</v>
      </c>
      <c r="K97" s="16" t="str">
        <f>INDEX(Lookups!$D$3:$D$6,MATCH(Y97,Lookups!$A$3:$A$6,0))</f>
        <v>EUR</v>
      </c>
      <c r="L97" s="25">
        <v>1050</v>
      </c>
      <c r="M97" s="19">
        <f>ROUND(L97*INDEX(Lookups!$G$3:$G$5,MATCH(K97,Lookups!$F$3:$F$5,0)),0)</f>
        <v>1134</v>
      </c>
      <c r="N97" s="20">
        <v>290</v>
      </c>
      <c r="O97" s="21">
        <v>0</v>
      </c>
      <c r="P97" s="19">
        <f t="shared" si="7"/>
        <v>328860</v>
      </c>
      <c r="Q97" s="16" t="str">
        <f>ROUND(AA97*Lookups!$O$3,0)&amp;" - "&amp;ROUND(AB97*Lookups!$O$3,0)&amp;" km/h"</f>
        <v>29 - 45 km/h</v>
      </c>
      <c r="R97" s="22">
        <f>IF(ISNUMBER(SEARCH("meters",W97)),ROUND(VALUE(SUBSTITUTE(LEFT(W97,FIND(" ",W97)-1),",",""))/Lookups!$O$4,0),ROUND(VALUE(LEFT(W97,FIND(" ",W97)-1))*Lookups!$O$3,0))</f>
        <v>40</v>
      </c>
      <c r="S97" s="16" t="s">
        <v>138</v>
      </c>
      <c r="T97" s="16" t="s">
        <v>139</v>
      </c>
      <c r="U97" s="16" t="s">
        <v>99</v>
      </c>
      <c r="V97" s="16" t="s">
        <v>100</v>
      </c>
      <c r="W97" s="16" t="s">
        <v>101</v>
      </c>
      <c r="X97" s="16" t="s">
        <v>148</v>
      </c>
      <c r="Y97" s="16" t="s">
        <v>141</v>
      </c>
      <c r="Z97" s="16" t="s">
        <v>149</v>
      </c>
      <c r="AA97" s="16">
        <f>IF(U97="",INDEX(Lookups!$J$3:$J$5,MATCH(E97,Lookups!$I$3:$I$5,0)),VALUE(LEFT(U97,FIND(" ",U97)-1)))</f>
        <v>18</v>
      </c>
      <c r="AB97" s="16">
        <f t="shared" si="8"/>
        <v>28</v>
      </c>
    </row>
    <row r="98" spans="1:28" x14ac:dyDescent="0.3">
      <c r="A98" s="16">
        <v>97</v>
      </c>
      <c r="B98" s="16" t="str">
        <f t="shared" ref="B98:B129" si="9">T98&amp;", "&amp;S98</f>
        <v>Joshi, Sanya</v>
      </c>
      <c r="C98" s="16" t="s">
        <v>29</v>
      </c>
      <c r="D98" s="16" t="str">
        <f>"Q"&amp;ROUNDUP(MATCH(C98,Lookups!$L$3:$L$14,0)/3,0)</f>
        <v>Q3</v>
      </c>
      <c r="E98" s="16" t="s">
        <v>41</v>
      </c>
      <c r="F98" s="16" t="s">
        <v>79</v>
      </c>
      <c r="G98" s="16" t="s">
        <v>80</v>
      </c>
      <c r="H98" s="17" t="s">
        <v>81</v>
      </c>
      <c r="I98" s="16" t="str">
        <f>INDEX(Lookups!$B$3:$B$6,MATCH(Y98,Lookups!$A$3:$A$6,0))</f>
        <v>India</v>
      </c>
      <c r="J98" s="16" t="str">
        <f>INDEX(Lookups!$C$3:$C$6,MATCH(Y98,Lookups!$A$3:$A$6,0))</f>
        <v>Asia</v>
      </c>
      <c r="K98" s="16" t="str">
        <f>INDEX(Lookups!$D$3:$D$6,MATCH(Y98,Lookups!$A$3:$A$6,0))</f>
        <v>INR</v>
      </c>
      <c r="L98" s="18">
        <v>30000</v>
      </c>
      <c r="M98" s="19">
        <f>ROUND(L98*INDEX(Lookups!$G$3:$G$5,MATCH(K98,Lookups!$F$3:$F$5,0)),0)</f>
        <v>360</v>
      </c>
      <c r="N98" s="20">
        <v>180</v>
      </c>
      <c r="O98" s="21">
        <v>0</v>
      </c>
      <c r="P98" s="19">
        <f t="shared" ref="P98:P129" si="10">ROUND(N98*M98*(1-O98/100),0)</f>
        <v>64800</v>
      </c>
      <c r="Q98" s="16" t="str">
        <f>ROUND(AA98*Lookups!$O$3,0)&amp;" - "&amp;ROUND(AB98*Lookups!$O$3,0)&amp;" km/h"</f>
        <v>24 - 48 km/h</v>
      </c>
      <c r="R98" s="22">
        <f>IF(ISNUMBER(SEARCH("meters",W98)),ROUND(VALUE(SUBSTITUTE(LEFT(W98,FIND(" ",W98)-1),",",""))/Lookups!$O$4,0),ROUND(VALUE(LEFT(W98,FIND(" ",W98)-1))*Lookups!$O$3,0))</f>
        <v>48</v>
      </c>
      <c r="S98" s="16" t="s">
        <v>82</v>
      </c>
      <c r="T98" s="16" t="s">
        <v>83</v>
      </c>
      <c r="U98" s="16" t="s">
        <v>84</v>
      </c>
      <c r="V98" s="16" t="s">
        <v>85</v>
      </c>
      <c r="W98" s="16" t="s">
        <v>86</v>
      </c>
      <c r="X98" s="16" t="s">
        <v>87</v>
      </c>
      <c r="Y98" s="16" t="s">
        <v>88</v>
      </c>
      <c r="Z98" s="16" t="s">
        <v>89</v>
      </c>
      <c r="AA98" s="16">
        <f>IF(U98="",INDEX(Lookups!$J$3:$J$5,MATCH(E98,Lookups!$I$3:$I$5,0)),VALUE(LEFT(U98,FIND(" ",U98)-1)))</f>
        <v>15</v>
      </c>
      <c r="AB98" s="16">
        <f t="shared" ref="AB98:AB129" si="11">VALUE(LEFT(V98,FIND(" ",V98)-1))</f>
        <v>30</v>
      </c>
    </row>
    <row r="99" spans="1:28" x14ac:dyDescent="0.3">
      <c r="A99" s="16">
        <v>98</v>
      </c>
      <c r="B99" s="16" t="str">
        <f t="shared" si="9"/>
        <v>Joshi, Sanya</v>
      </c>
      <c r="C99" s="16" t="s">
        <v>29</v>
      </c>
      <c r="D99" s="16" t="str">
        <f>"Q"&amp;ROUNDUP(MATCH(C99,Lookups!$L$3:$L$14,0)/3,0)</f>
        <v>Q3</v>
      </c>
      <c r="E99" s="16" t="s">
        <v>42</v>
      </c>
      <c r="F99" s="16" t="s">
        <v>91</v>
      </c>
      <c r="G99" s="16" t="s">
        <v>80</v>
      </c>
      <c r="H99" s="17" t="s">
        <v>81</v>
      </c>
      <c r="I99" s="16" t="str">
        <f>INDEX(Lookups!$B$3:$B$6,MATCH(Y99,Lookups!$A$3:$A$6,0))</f>
        <v>India</v>
      </c>
      <c r="J99" s="16" t="str">
        <f>INDEX(Lookups!$C$3:$C$6,MATCH(Y99,Lookups!$A$3:$A$6,0))</f>
        <v>Asia</v>
      </c>
      <c r="K99" s="16" t="str">
        <f>INDEX(Lookups!$D$3:$D$6,MATCH(Y99,Lookups!$A$3:$A$6,0))</f>
        <v>INR</v>
      </c>
      <c r="L99" s="18">
        <v>25000</v>
      </c>
      <c r="M99" s="19">
        <f>ROUND(L99*INDEX(Lookups!$G$3:$G$5,MATCH(K99,Lookups!$F$3:$F$5,0)),0)</f>
        <v>300</v>
      </c>
      <c r="N99" s="20">
        <v>500</v>
      </c>
      <c r="O99" s="21">
        <v>0</v>
      </c>
      <c r="P99" s="19">
        <f t="shared" si="10"/>
        <v>150000</v>
      </c>
      <c r="Q99" s="16" t="str">
        <f>ROUND(AA99*Lookups!$O$3,0)&amp;" - "&amp;ROUND(AB99*Lookups!$O$3,0)&amp;" km/h"</f>
        <v>32 - 56 km/h</v>
      </c>
      <c r="R99" s="22">
        <f>IF(ISNUMBER(SEARCH("meters",W99)),ROUND(VALUE(SUBSTITUTE(LEFT(W99,FIND(" ",W99)-1),",",""))/Lookups!$O$4,0),ROUND(VALUE(LEFT(W99,FIND(" ",W99)-1))*Lookups!$O$3,0))</f>
        <v>64</v>
      </c>
      <c r="S99" s="16" t="s">
        <v>82</v>
      </c>
      <c r="T99" s="16" t="s">
        <v>83</v>
      </c>
      <c r="U99" s="16" t="s">
        <v>92</v>
      </c>
      <c r="V99" s="16" t="s">
        <v>93</v>
      </c>
      <c r="W99" s="16" t="s">
        <v>94</v>
      </c>
      <c r="X99" s="16" t="s">
        <v>95</v>
      </c>
      <c r="Y99" s="16" t="s">
        <v>88</v>
      </c>
      <c r="Z99" s="16" t="s">
        <v>96</v>
      </c>
      <c r="AA99" s="16">
        <f>IF(U99="",INDEX(Lookups!$J$3:$J$5,MATCH(E99,Lookups!$I$3:$I$5,0)),VALUE(LEFT(U99,FIND(" ",U99)-1)))</f>
        <v>20</v>
      </c>
      <c r="AB99" s="16">
        <f t="shared" si="11"/>
        <v>35</v>
      </c>
    </row>
    <row r="100" spans="1:28" x14ac:dyDescent="0.3">
      <c r="A100" s="16">
        <v>99</v>
      </c>
      <c r="B100" s="16" t="str">
        <f t="shared" si="9"/>
        <v>Joshi, Sanya</v>
      </c>
      <c r="C100" s="16" t="s">
        <v>29</v>
      </c>
      <c r="D100" s="16" t="str">
        <f>"Q"&amp;ROUNDUP(MATCH(C100,Lookups!$L$3:$L$14,0)/3,0)</f>
        <v>Q3</v>
      </c>
      <c r="E100" s="16" t="s">
        <v>43</v>
      </c>
      <c r="F100" s="16" t="s">
        <v>98</v>
      </c>
      <c r="G100" s="16" t="s">
        <v>80</v>
      </c>
      <c r="H100" s="17" t="s">
        <v>81</v>
      </c>
      <c r="I100" s="16" t="str">
        <f>INDEX(Lookups!$B$3:$B$6,MATCH(Y100,Lookups!$A$3:$A$6,0))</f>
        <v>India</v>
      </c>
      <c r="J100" s="16" t="str">
        <f>INDEX(Lookups!$C$3:$C$6,MATCH(Y100,Lookups!$A$3:$A$6,0))</f>
        <v>Asia</v>
      </c>
      <c r="K100" s="16" t="str">
        <f>INDEX(Lookups!$D$3:$D$6,MATCH(Y100,Lookups!$A$3:$A$6,0))</f>
        <v>INR</v>
      </c>
      <c r="L100" s="18">
        <v>22000</v>
      </c>
      <c r="M100" s="19">
        <f>ROUND(L100*INDEX(Lookups!$G$3:$G$5,MATCH(K100,Lookups!$F$3:$F$5,0)),0)</f>
        <v>264</v>
      </c>
      <c r="N100" s="20">
        <v>300</v>
      </c>
      <c r="O100" s="21">
        <v>0</v>
      </c>
      <c r="P100" s="19">
        <f t="shared" si="10"/>
        <v>79200</v>
      </c>
      <c r="Q100" s="16" t="str">
        <f>ROUND(AA100*Lookups!$O$3,0)&amp;" - "&amp;ROUND(AB100*Lookups!$O$3,0)&amp;" km/h"</f>
        <v>29 - 45 km/h</v>
      </c>
      <c r="R100" s="22">
        <f>IF(ISNUMBER(SEARCH("meters",W100)),ROUND(VALUE(SUBSTITUTE(LEFT(W100,FIND(" ",W100)-1),",",""))/Lookups!$O$4,0),ROUND(VALUE(LEFT(W100,FIND(" ",W100)-1))*Lookups!$O$3,0))</f>
        <v>40</v>
      </c>
      <c r="S100" s="16" t="s">
        <v>82</v>
      </c>
      <c r="T100" s="16" t="s">
        <v>83</v>
      </c>
      <c r="U100" s="16" t="s">
        <v>99</v>
      </c>
      <c r="V100" s="16" t="s">
        <v>100</v>
      </c>
      <c r="W100" s="16" t="s">
        <v>101</v>
      </c>
      <c r="X100" s="16" t="s">
        <v>102</v>
      </c>
      <c r="Y100" s="16" t="s">
        <v>88</v>
      </c>
      <c r="Z100" s="16" t="s">
        <v>103</v>
      </c>
      <c r="AA100" s="16">
        <f>IF(U100="",INDEX(Lookups!$J$3:$J$5,MATCH(E100,Lookups!$I$3:$I$5,0)),VALUE(LEFT(U100,FIND(" ",U100)-1)))</f>
        <v>18</v>
      </c>
      <c r="AB100" s="16">
        <f t="shared" si="11"/>
        <v>28</v>
      </c>
    </row>
    <row r="101" spans="1:28" x14ac:dyDescent="0.3">
      <c r="A101" s="16">
        <v>100</v>
      </c>
      <c r="B101" s="16" t="str">
        <f t="shared" si="9"/>
        <v>Liu, Fang</v>
      </c>
      <c r="C101" s="16" t="s">
        <v>29</v>
      </c>
      <c r="D101" s="16" t="str">
        <f>"Q"&amp;ROUNDUP(MATCH(C101,Lookups!$L$3:$L$14,0)/3,0)</f>
        <v>Q3</v>
      </c>
      <c r="E101" s="16" t="s">
        <v>41</v>
      </c>
      <c r="F101" s="16" t="s">
        <v>105</v>
      </c>
      <c r="G101" s="16" t="s">
        <v>106</v>
      </c>
      <c r="H101" s="17" t="s">
        <v>107</v>
      </c>
      <c r="I101" s="16" t="str">
        <f>INDEX(Lookups!$B$3:$B$6,MATCH(Y101,Lookups!$A$3:$A$6,0))</f>
        <v>China</v>
      </c>
      <c r="J101" s="16" t="str">
        <f>INDEX(Lookups!$C$3:$C$6,MATCH(Y101,Lookups!$A$3:$A$6,0))</f>
        <v>Asia</v>
      </c>
      <c r="K101" s="16" t="str">
        <f>INDEX(Lookups!$D$3:$D$6,MATCH(Y101,Lookups!$A$3:$A$6,0))</f>
        <v>CNY</v>
      </c>
      <c r="L101" s="24">
        <v>5000</v>
      </c>
      <c r="M101" s="19">
        <f>ROUND(L101*INDEX(Lookups!$G$3:$G$5,MATCH(K101,Lookups!$F$3:$F$5,0)),0)</f>
        <v>700</v>
      </c>
      <c r="N101" s="20">
        <v>600</v>
      </c>
      <c r="O101" s="21">
        <v>0</v>
      </c>
      <c r="P101" s="19">
        <f t="shared" si="10"/>
        <v>420000</v>
      </c>
      <c r="Q101" s="16" t="str">
        <f>ROUND(AA101*Lookups!$O$3,0)&amp;" - "&amp;ROUND(AB101*Lookups!$O$3,0)&amp;" km/h"</f>
        <v>24 - 48 km/h</v>
      </c>
      <c r="R101" s="22">
        <f>IF(ISNUMBER(SEARCH("meters",W101)),ROUND(VALUE(SUBSTITUTE(LEFT(W101,FIND(" ",W101)-1),",",""))/Lookups!$O$4,0),ROUND(VALUE(LEFT(W101,FIND(" ",W101)-1))*Lookups!$O$3,0))</f>
        <v>48</v>
      </c>
      <c r="S101" s="16" t="s">
        <v>108</v>
      </c>
      <c r="T101" s="16" t="s">
        <v>109</v>
      </c>
      <c r="U101" s="16" t="s">
        <v>84</v>
      </c>
      <c r="V101" s="16" t="s">
        <v>85</v>
      </c>
      <c r="W101" s="16" t="s">
        <v>86</v>
      </c>
      <c r="X101" s="16" t="s">
        <v>110</v>
      </c>
      <c r="Y101" s="16" t="s">
        <v>111</v>
      </c>
      <c r="Z101" s="16" t="s">
        <v>112</v>
      </c>
      <c r="AA101" s="16">
        <f>IF(U101="",INDEX(Lookups!$J$3:$J$5,MATCH(E101,Lookups!$I$3:$I$5,0)),VALUE(LEFT(U101,FIND(" ",U101)-1)))</f>
        <v>15</v>
      </c>
      <c r="AB101" s="16">
        <f t="shared" si="11"/>
        <v>30</v>
      </c>
    </row>
    <row r="102" spans="1:28" x14ac:dyDescent="0.3">
      <c r="A102" s="16">
        <v>101</v>
      </c>
      <c r="B102" s="16" t="str">
        <f t="shared" si="9"/>
        <v>Liu, Fang</v>
      </c>
      <c r="C102" s="16" t="s">
        <v>29</v>
      </c>
      <c r="D102" s="16" t="str">
        <f>"Q"&amp;ROUNDUP(MATCH(C102,Lookups!$L$3:$L$14,0)/3,0)</f>
        <v>Q3</v>
      </c>
      <c r="E102" s="16" t="s">
        <v>42</v>
      </c>
      <c r="F102" s="16" t="s">
        <v>113</v>
      </c>
      <c r="G102" s="16" t="s">
        <v>106</v>
      </c>
      <c r="H102" s="17" t="s">
        <v>107</v>
      </c>
      <c r="I102" s="16" t="str">
        <f>INDEX(Lookups!$B$3:$B$6,MATCH(Y102,Lookups!$A$3:$A$6,0))</f>
        <v>China</v>
      </c>
      <c r="J102" s="16" t="str">
        <f>INDEX(Lookups!$C$3:$C$6,MATCH(Y102,Lookups!$A$3:$A$6,0))</f>
        <v>Asia</v>
      </c>
      <c r="K102" s="16" t="str">
        <f>INDEX(Lookups!$D$3:$D$6,MATCH(Y102,Lookups!$A$3:$A$6,0))</f>
        <v>CNY</v>
      </c>
      <c r="L102" s="24">
        <v>3500</v>
      </c>
      <c r="M102" s="19">
        <f>ROUND(L102*INDEX(Lookups!$G$3:$G$5,MATCH(K102,Lookups!$F$3:$F$5,0)),0)</f>
        <v>490</v>
      </c>
      <c r="N102" s="20">
        <v>1400</v>
      </c>
      <c r="O102" s="21">
        <v>0</v>
      </c>
      <c r="P102" s="19">
        <f t="shared" si="10"/>
        <v>686000</v>
      </c>
      <c r="Q102" s="16" t="str">
        <f>ROUND(AA102*Lookups!$O$3,0)&amp;" - "&amp;ROUND(AB102*Lookups!$O$3,0)&amp;" km/h"</f>
        <v>32 - 56 km/h</v>
      </c>
      <c r="R102" s="22">
        <f>IF(ISNUMBER(SEARCH("meters",W102)),ROUND(VALUE(SUBSTITUTE(LEFT(W102,FIND(" ",W102)-1),",",""))/Lookups!$O$4,0),ROUND(VALUE(LEFT(W102,FIND(" ",W102)-1))*Lookups!$O$3,0))</f>
        <v>64</v>
      </c>
      <c r="S102" s="16" t="s">
        <v>108</v>
      </c>
      <c r="T102" s="16" t="s">
        <v>109</v>
      </c>
      <c r="U102" s="16" t="s">
        <v>92</v>
      </c>
      <c r="V102" s="16" t="s">
        <v>93</v>
      </c>
      <c r="W102" s="16" t="s">
        <v>94</v>
      </c>
      <c r="X102" s="16" t="s">
        <v>114</v>
      </c>
      <c r="Y102" s="16" t="s">
        <v>111</v>
      </c>
      <c r="Z102" s="16" t="s">
        <v>115</v>
      </c>
      <c r="AA102" s="16">
        <f>IF(U102="",INDEX(Lookups!$J$3:$J$5,MATCH(E102,Lookups!$I$3:$I$5,0)),VALUE(LEFT(U102,FIND(" ",U102)-1)))</f>
        <v>20</v>
      </c>
      <c r="AB102" s="16">
        <f t="shared" si="11"/>
        <v>35</v>
      </c>
    </row>
    <row r="103" spans="1:28" x14ac:dyDescent="0.3">
      <c r="A103" s="16">
        <v>102</v>
      </c>
      <c r="B103" s="16" t="str">
        <f t="shared" si="9"/>
        <v>Liu, Fang</v>
      </c>
      <c r="C103" s="16" t="s">
        <v>29</v>
      </c>
      <c r="D103" s="16" t="str">
        <f>"Q"&amp;ROUNDUP(MATCH(C103,Lookups!$L$3:$L$14,0)/3,0)</f>
        <v>Q3</v>
      </c>
      <c r="E103" s="16" t="s">
        <v>43</v>
      </c>
      <c r="F103" s="16" t="s">
        <v>116</v>
      </c>
      <c r="G103" s="16" t="s">
        <v>106</v>
      </c>
      <c r="H103" s="17" t="s">
        <v>107</v>
      </c>
      <c r="I103" s="16" t="str">
        <f>INDEX(Lookups!$B$3:$B$6,MATCH(Y103,Lookups!$A$3:$A$6,0))</f>
        <v>China</v>
      </c>
      <c r="J103" s="16" t="str">
        <f>INDEX(Lookups!$C$3:$C$6,MATCH(Y103,Lookups!$A$3:$A$6,0))</f>
        <v>Asia</v>
      </c>
      <c r="K103" s="16" t="str">
        <f>INDEX(Lookups!$D$3:$D$6,MATCH(Y103,Lookups!$A$3:$A$6,0))</f>
        <v>CNY</v>
      </c>
      <c r="L103" s="24">
        <v>4200</v>
      </c>
      <c r="M103" s="19">
        <f>ROUND(L103*INDEX(Lookups!$G$3:$G$5,MATCH(K103,Lookups!$F$3:$F$5,0)),0)</f>
        <v>588</v>
      </c>
      <c r="N103" s="20">
        <v>850</v>
      </c>
      <c r="O103" s="21">
        <v>0</v>
      </c>
      <c r="P103" s="19">
        <f t="shared" si="10"/>
        <v>499800</v>
      </c>
      <c r="Q103" s="16" t="str">
        <f>ROUND(AA103*Lookups!$O$3,0)&amp;" - "&amp;ROUND(AB103*Lookups!$O$3,0)&amp;" km/h"</f>
        <v>29 - 45 km/h</v>
      </c>
      <c r="R103" s="22">
        <f>IF(ISNUMBER(SEARCH("meters",W103)),ROUND(VALUE(SUBSTITUTE(LEFT(W103,FIND(" ",W103)-1),",",""))/Lookups!$O$4,0),ROUND(VALUE(LEFT(W103,FIND(" ",W103)-1))*Lookups!$O$3,0))</f>
        <v>40</v>
      </c>
      <c r="S103" s="16" t="s">
        <v>108</v>
      </c>
      <c r="T103" s="16" t="s">
        <v>109</v>
      </c>
      <c r="U103" s="16" t="s">
        <v>99</v>
      </c>
      <c r="V103" s="16" t="s">
        <v>100</v>
      </c>
      <c r="W103" s="16" t="s">
        <v>101</v>
      </c>
      <c r="X103" s="16" t="s">
        <v>118</v>
      </c>
      <c r="Y103" s="16" t="s">
        <v>111</v>
      </c>
      <c r="Z103" s="16" t="s">
        <v>119</v>
      </c>
      <c r="AA103" s="16">
        <f>IF(U103="",INDEX(Lookups!$J$3:$J$5,MATCH(E103,Lookups!$I$3:$I$5,0)),VALUE(LEFT(U103,FIND(" ",U103)-1)))</f>
        <v>18</v>
      </c>
      <c r="AB103" s="16">
        <f t="shared" si="11"/>
        <v>28</v>
      </c>
    </row>
    <row r="104" spans="1:28" x14ac:dyDescent="0.3">
      <c r="A104" s="16">
        <v>103</v>
      </c>
      <c r="B104" s="16" t="str">
        <f t="shared" si="9"/>
        <v>Fischer, Jonas</v>
      </c>
      <c r="C104" s="16" t="s">
        <v>29</v>
      </c>
      <c r="D104" s="16" t="str">
        <f>"Q"&amp;ROUNDUP(MATCH(C104,Lookups!$L$3:$L$14,0)/3,0)</f>
        <v>Q3</v>
      </c>
      <c r="E104" s="16" t="s">
        <v>41</v>
      </c>
      <c r="F104" s="16" t="s">
        <v>120</v>
      </c>
      <c r="G104" s="16" t="s">
        <v>121</v>
      </c>
      <c r="H104" s="17" t="s">
        <v>122</v>
      </c>
      <c r="I104" s="16" t="str">
        <f>INDEX(Lookups!$B$3:$B$6,MATCH(Y104,Lookups!$A$3:$A$6,0))</f>
        <v>Germany</v>
      </c>
      <c r="J104" s="16" t="str">
        <f>INDEX(Lookups!$C$3:$C$6,MATCH(Y104,Lookups!$A$3:$A$6,0))</f>
        <v>Europe</v>
      </c>
      <c r="K104" s="16" t="str">
        <f>INDEX(Lookups!$D$3:$D$6,MATCH(Y104,Lookups!$A$3:$A$6,0))</f>
        <v>EUR</v>
      </c>
      <c r="L104" s="25">
        <v>1000</v>
      </c>
      <c r="M104" s="19">
        <f>ROUND(L104*INDEX(Lookups!$G$3:$G$5,MATCH(K104,Lookups!$F$3:$F$5,0)),0)</f>
        <v>1080</v>
      </c>
      <c r="N104" s="20">
        <v>160</v>
      </c>
      <c r="O104" s="21">
        <v>0</v>
      </c>
      <c r="P104" s="19">
        <f t="shared" si="10"/>
        <v>172800</v>
      </c>
      <c r="Q104" s="16" t="str">
        <f>ROUND(AA104*Lookups!$O$3,0)&amp;" - "&amp;ROUND(AB104*Lookups!$O$3,0)&amp;" km/h"</f>
        <v>24 - 48 km/h</v>
      </c>
      <c r="R104" s="22">
        <f>IF(ISNUMBER(SEARCH("meters",W104)),ROUND(VALUE(SUBSTITUTE(LEFT(W104,FIND(" ",W104)-1),",",""))/Lookups!$O$4,0),ROUND(VALUE(LEFT(W104,FIND(" ",W104)-1))*Lookups!$O$3,0))</f>
        <v>48</v>
      </c>
      <c r="S104" s="16" t="s">
        <v>123</v>
      </c>
      <c r="T104" s="16" t="s">
        <v>124</v>
      </c>
      <c r="U104" s="16" t="s">
        <v>84</v>
      </c>
      <c r="V104" s="16" t="s">
        <v>85</v>
      </c>
      <c r="W104" s="16" t="s">
        <v>125</v>
      </c>
      <c r="X104" s="16" t="s">
        <v>126</v>
      </c>
      <c r="Y104" s="16" t="s">
        <v>127</v>
      </c>
      <c r="Z104" s="16" t="s">
        <v>128</v>
      </c>
      <c r="AA104" s="16">
        <f>IF(U104="",INDEX(Lookups!$J$3:$J$5,MATCH(E104,Lookups!$I$3:$I$5,0)),VALUE(LEFT(U104,FIND(" ",U104)-1)))</f>
        <v>15</v>
      </c>
      <c r="AB104" s="16">
        <f t="shared" si="11"/>
        <v>30</v>
      </c>
    </row>
    <row r="105" spans="1:28" x14ac:dyDescent="0.3">
      <c r="A105" s="16">
        <v>104</v>
      </c>
      <c r="B105" s="16" t="str">
        <f t="shared" si="9"/>
        <v>Fischer, Jonas</v>
      </c>
      <c r="C105" s="16" t="s">
        <v>29</v>
      </c>
      <c r="D105" s="16" t="str">
        <f>"Q"&amp;ROUNDUP(MATCH(C105,Lookups!$L$3:$L$14,0)/3,0)</f>
        <v>Q3</v>
      </c>
      <c r="E105" s="16" t="s">
        <v>42</v>
      </c>
      <c r="F105" s="16" t="s">
        <v>129</v>
      </c>
      <c r="G105" s="16" t="s">
        <v>121</v>
      </c>
      <c r="H105" s="17" t="s">
        <v>122</v>
      </c>
      <c r="I105" s="16" t="str">
        <f>INDEX(Lookups!$B$3:$B$6,MATCH(Y105,Lookups!$A$3:$A$6,0))</f>
        <v>Germany</v>
      </c>
      <c r="J105" s="16" t="str">
        <f>INDEX(Lookups!$C$3:$C$6,MATCH(Y105,Lookups!$A$3:$A$6,0))</f>
        <v>Europe</v>
      </c>
      <c r="K105" s="16" t="str">
        <f>INDEX(Lookups!$D$3:$D$6,MATCH(Y105,Lookups!$A$3:$A$6,0))</f>
        <v>EUR</v>
      </c>
      <c r="L105" s="25">
        <v>800</v>
      </c>
      <c r="M105" s="19">
        <f>ROUND(L105*INDEX(Lookups!$G$3:$G$5,MATCH(K105,Lookups!$F$3:$F$5,0)),0)</f>
        <v>864</v>
      </c>
      <c r="N105" s="20">
        <v>320</v>
      </c>
      <c r="O105" s="21">
        <v>0</v>
      </c>
      <c r="P105" s="19">
        <f t="shared" si="10"/>
        <v>276480</v>
      </c>
      <c r="Q105" s="16" t="str">
        <f>ROUND(AA105*Lookups!$O$3,0)&amp;" - "&amp;ROUND(AB105*Lookups!$O$3,0)&amp;" km/h"</f>
        <v>32 - 56 km/h</v>
      </c>
      <c r="R105" s="22">
        <f>IF(ISNUMBER(SEARCH("meters",W105)),ROUND(VALUE(SUBSTITUTE(LEFT(W105,FIND(" ",W105)-1),",",""))/Lookups!$O$4,0),ROUND(VALUE(LEFT(W105,FIND(" ",W105)-1))*Lookups!$O$3,0))</f>
        <v>64</v>
      </c>
      <c r="S105" s="16" t="s">
        <v>123</v>
      </c>
      <c r="T105" s="16" t="s">
        <v>124</v>
      </c>
      <c r="U105" s="16" t="s">
        <v>92</v>
      </c>
      <c r="V105" s="16" t="s">
        <v>93</v>
      </c>
      <c r="W105" s="16" t="s">
        <v>94</v>
      </c>
      <c r="X105" s="16" t="s">
        <v>130</v>
      </c>
      <c r="Y105" s="16" t="s">
        <v>127</v>
      </c>
      <c r="Z105" s="16" t="s">
        <v>131</v>
      </c>
      <c r="AA105" s="16">
        <f>IF(U105="",INDEX(Lookups!$J$3:$J$5,MATCH(E105,Lookups!$I$3:$I$5,0)),VALUE(LEFT(U105,FIND(" ",U105)-1)))</f>
        <v>20</v>
      </c>
      <c r="AB105" s="16">
        <f t="shared" si="11"/>
        <v>35</v>
      </c>
    </row>
    <row r="106" spans="1:28" x14ac:dyDescent="0.3">
      <c r="A106" s="16">
        <v>105</v>
      </c>
      <c r="B106" s="16" t="str">
        <f t="shared" si="9"/>
        <v>Fischer, Jonas</v>
      </c>
      <c r="C106" s="16" t="s">
        <v>29</v>
      </c>
      <c r="D106" s="16" t="str">
        <f>"Q"&amp;ROUNDUP(MATCH(C106,Lookups!$L$3:$L$14,0)/3,0)</f>
        <v>Q3</v>
      </c>
      <c r="E106" s="16" t="s">
        <v>43</v>
      </c>
      <c r="F106" s="16" t="s">
        <v>132</v>
      </c>
      <c r="G106" s="16" t="s">
        <v>121</v>
      </c>
      <c r="H106" s="17" t="s">
        <v>122</v>
      </c>
      <c r="I106" s="16" t="str">
        <f>INDEX(Lookups!$B$3:$B$6,MATCH(Y106,Lookups!$A$3:$A$6,0))</f>
        <v>Germany</v>
      </c>
      <c r="J106" s="16" t="str">
        <f>INDEX(Lookups!$C$3:$C$6,MATCH(Y106,Lookups!$A$3:$A$6,0))</f>
        <v>Europe</v>
      </c>
      <c r="K106" s="16" t="str">
        <f>INDEX(Lookups!$D$3:$D$6,MATCH(Y106,Lookups!$A$3:$A$6,0))</f>
        <v>EUR</v>
      </c>
      <c r="L106" s="25">
        <v>950</v>
      </c>
      <c r="M106" s="19">
        <f>ROUND(L106*INDEX(Lookups!$G$3:$G$5,MATCH(K106,Lookups!$F$3:$F$5,0)),0)</f>
        <v>1026</v>
      </c>
      <c r="N106" s="20">
        <v>250</v>
      </c>
      <c r="O106" s="21">
        <v>0</v>
      </c>
      <c r="P106" s="19">
        <f t="shared" si="10"/>
        <v>256500</v>
      </c>
      <c r="Q106" s="16" t="str">
        <f>ROUND(AA106*Lookups!$O$3,0)&amp;" - "&amp;ROUND(AB106*Lookups!$O$3,0)&amp;" km/h"</f>
        <v>29 - 45 km/h</v>
      </c>
      <c r="R106" s="22">
        <f>IF(ISNUMBER(SEARCH("meters",W106)),ROUND(VALUE(SUBSTITUTE(LEFT(W106,FIND(" ",W106)-1),",",""))/Lookups!$O$4,0),ROUND(VALUE(LEFT(W106,FIND(" ",W106)-1))*Lookups!$O$3,0))</f>
        <v>40</v>
      </c>
      <c r="S106" s="16" t="s">
        <v>123</v>
      </c>
      <c r="T106" s="16" t="s">
        <v>124</v>
      </c>
      <c r="U106" s="16" t="s">
        <v>99</v>
      </c>
      <c r="V106" s="16" t="s">
        <v>100</v>
      </c>
      <c r="W106" s="16" t="s">
        <v>101</v>
      </c>
      <c r="X106" s="16" t="s">
        <v>133</v>
      </c>
      <c r="Y106" s="16" t="s">
        <v>127</v>
      </c>
      <c r="Z106" s="16" t="s">
        <v>134</v>
      </c>
      <c r="AA106" s="16">
        <f>IF(U106="",INDEX(Lookups!$J$3:$J$5,MATCH(E106,Lookups!$I$3:$I$5,0)),VALUE(LEFT(U106,FIND(" ",U106)-1)))</f>
        <v>18</v>
      </c>
      <c r="AB106" s="16">
        <f t="shared" si="11"/>
        <v>28</v>
      </c>
    </row>
    <row r="107" spans="1:28" x14ac:dyDescent="0.3">
      <c r="A107" s="16">
        <v>106</v>
      </c>
      <c r="B107" s="16" t="str">
        <f t="shared" si="9"/>
        <v>Bernard, Théo</v>
      </c>
      <c r="C107" s="16" t="s">
        <v>29</v>
      </c>
      <c r="D107" s="16" t="str">
        <f>"Q"&amp;ROUNDUP(MATCH(C107,Lookups!$L$3:$L$14,0)/3,0)</f>
        <v>Q3</v>
      </c>
      <c r="E107" s="16" t="s">
        <v>41</v>
      </c>
      <c r="F107" s="16" t="s">
        <v>135</v>
      </c>
      <c r="G107" s="16" t="s">
        <v>136</v>
      </c>
      <c r="H107" s="17" t="s">
        <v>137</v>
      </c>
      <c r="I107" s="16" t="str">
        <f>INDEX(Lookups!$B$3:$B$6,MATCH(Y107,Lookups!$A$3:$A$6,0))</f>
        <v>France</v>
      </c>
      <c r="J107" s="16" t="str">
        <f>INDEX(Lookups!$C$3:$C$6,MATCH(Y107,Lookups!$A$3:$A$6,0))</f>
        <v>Europe</v>
      </c>
      <c r="K107" s="16" t="str">
        <f>INDEX(Lookups!$D$3:$D$6,MATCH(Y107,Lookups!$A$3:$A$6,0))</f>
        <v>EUR</v>
      </c>
      <c r="L107" s="25">
        <v>1100</v>
      </c>
      <c r="M107" s="19">
        <f>ROUND(L107*INDEX(Lookups!$G$3:$G$5,MATCH(K107,Lookups!$F$3:$F$5,0)),0)</f>
        <v>1188</v>
      </c>
      <c r="N107" s="20">
        <v>140</v>
      </c>
      <c r="O107" s="21">
        <v>0</v>
      </c>
      <c r="P107" s="19">
        <f t="shared" si="10"/>
        <v>166320</v>
      </c>
      <c r="Q107" s="16" t="str">
        <f>ROUND(AA107*Lookups!$O$3,0)&amp;" - "&amp;ROUND(AB107*Lookups!$O$3,0)&amp;" km/h"</f>
        <v>24 - 48 km/h</v>
      </c>
      <c r="R107" s="22">
        <f>IF(ISNUMBER(SEARCH("meters",W107)),ROUND(VALUE(SUBSTITUTE(LEFT(W107,FIND(" ",W107)-1),",",""))/Lookups!$O$4,0),ROUND(VALUE(LEFT(W107,FIND(" ",W107)-1))*Lookups!$O$3,0))</f>
        <v>48</v>
      </c>
      <c r="S107" s="16" t="s">
        <v>138</v>
      </c>
      <c r="T107" s="16" t="s">
        <v>139</v>
      </c>
      <c r="U107" s="16" t="s">
        <v>84</v>
      </c>
      <c r="V107" s="16" t="s">
        <v>85</v>
      </c>
      <c r="W107" s="16" t="s">
        <v>86</v>
      </c>
      <c r="X107" s="16" t="s">
        <v>140</v>
      </c>
      <c r="Y107" s="16" t="s">
        <v>141</v>
      </c>
      <c r="Z107" s="16" t="s">
        <v>142</v>
      </c>
      <c r="AA107" s="16">
        <f>IF(U107="",INDEX(Lookups!$J$3:$J$5,MATCH(E107,Lookups!$I$3:$I$5,0)),VALUE(LEFT(U107,FIND(" ",U107)-1)))</f>
        <v>15</v>
      </c>
      <c r="AB107" s="16">
        <f t="shared" si="11"/>
        <v>30</v>
      </c>
    </row>
    <row r="108" spans="1:28" x14ac:dyDescent="0.3">
      <c r="A108" s="16">
        <v>107</v>
      </c>
      <c r="B108" s="16" t="str">
        <f t="shared" si="9"/>
        <v>Bernard, Théo</v>
      </c>
      <c r="C108" s="16" t="s">
        <v>29</v>
      </c>
      <c r="D108" s="16" t="str">
        <f>"Q"&amp;ROUNDUP(MATCH(C108,Lookups!$L$3:$L$14,0)/3,0)</f>
        <v>Q3</v>
      </c>
      <c r="E108" s="16" t="s">
        <v>42</v>
      </c>
      <c r="F108" s="16" t="s">
        <v>143</v>
      </c>
      <c r="G108" s="16" t="s">
        <v>136</v>
      </c>
      <c r="H108" s="17" t="s">
        <v>137</v>
      </c>
      <c r="I108" s="16" t="str">
        <f>INDEX(Lookups!$B$3:$B$6,MATCH(Y108,Lookups!$A$3:$A$6,0))</f>
        <v>France</v>
      </c>
      <c r="J108" s="16" t="str">
        <f>INDEX(Lookups!$C$3:$C$6,MATCH(Y108,Lookups!$A$3:$A$6,0))</f>
        <v>Europe</v>
      </c>
      <c r="K108" s="16" t="str">
        <f>INDEX(Lookups!$D$3:$D$6,MATCH(Y108,Lookups!$A$3:$A$6,0))</f>
        <v>EUR</v>
      </c>
      <c r="L108" s="25">
        <v>900</v>
      </c>
      <c r="M108" s="19">
        <f>ROUND(L108*INDEX(Lookups!$G$3:$G$5,MATCH(K108,Lookups!$F$3:$F$5,0)),0)</f>
        <v>972</v>
      </c>
      <c r="N108" s="20">
        <v>310</v>
      </c>
      <c r="O108" s="21">
        <v>0</v>
      </c>
      <c r="P108" s="19">
        <f t="shared" si="10"/>
        <v>301320</v>
      </c>
      <c r="Q108" s="16" t="str">
        <f>ROUND(AA108*Lookups!$O$3,0)&amp;" - "&amp;ROUND(AB108*Lookups!$O$3,0)&amp;" km/h"</f>
        <v>32 - 56 km/h</v>
      </c>
      <c r="R108" s="22">
        <f>IF(ISNUMBER(SEARCH("meters",W108)),ROUND(VALUE(SUBSTITUTE(LEFT(W108,FIND(" ",W108)-1),",",""))/Lookups!$O$4,0),ROUND(VALUE(LEFT(W108,FIND(" ",W108)-1))*Lookups!$O$3,0))</f>
        <v>64</v>
      </c>
      <c r="S108" s="16" t="s">
        <v>138</v>
      </c>
      <c r="T108" s="16" t="s">
        <v>139</v>
      </c>
      <c r="U108" s="16" t="s">
        <v>92</v>
      </c>
      <c r="V108" s="16" t="s">
        <v>93</v>
      </c>
      <c r="W108" s="16" t="s">
        <v>94</v>
      </c>
      <c r="X108" s="16" t="s">
        <v>145</v>
      </c>
      <c r="Y108" s="16" t="s">
        <v>141</v>
      </c>
      <c r="Z108" s="16" t="s">
        <v>146</v>
      </c>
      <c r="AA108" s="16">
        <f>IF(U108="",INDEX(Lookups!$J$3:$J$5,MATCH(E108,Lookups!$I$3:$I$5,0)),VALUE(LEFT(U108,FIND(" ",U108)-1)))</f>
        <v>20</v>
      </c>
      <c r="AB108" s="16">
        <f t="shared" si="11"/>
        <v>35</v>
      </c>
    </row>
    <row r="109" spans="1:28" x14ac:dyDescent="0.3">
      <c r="A109" s="16">
        <v>108</v>
      </c>
      <c r="B109" s="16" t="str">
        <f t="shared" si="9"/>
        <v>Bernard, Théo</v>
      </c>
      <c r="C109" s="16" t="s">
        <v>29</v>
      </c>
      <c r="D109" s="16" t="str">
        <f>"Q"&amp;ROUNDUP(MATCH(C109,Lookups!$L$3:$L$14,0)/3,0)</f>
        <v>Q3</v>
      </c>
      <c r="E109" s="16" t="s">
        <v>43</v>
      </c>
      <c r="F109" s="16" t="s">
        <v>147</v>
      </c>
      <c r="G109" s="16" t="s">
        <v>136</v>
      </c>
      <c r="H109" s="17" t="s">
        <v>137</v>
      </c>
      <c r="I109" s="16" t="str">
        <f>INDEX(Lookups!$B$3:$B$6,MATCH(Y109,Lookups!$A$3:$A$6,0))</f>
        <v>France</v>
      </c>
      <c r="J109" s="16" t="str">
        <f>INDEX(Lookups!$C$3:$C$6,MATCH(Y109,Lookups!$A$3:$A$6,0))</f>
        <v>Europe</v>
      </c>
      <c r="K109" s="16" t="str">
        <f>INDEX(Lookups!$D$3:$D$6,MATCH(Y109,Lookups!$A$3:$A$6,0))</f>
        <v>EUR</v>
      </c>
      <c r="L109" s="25">
        <v>1050</v>
      </c>
      <c r="M109" s="19">
        <f>ROUND(L109*INDEX(Lookups!$G$3:$G$5,MATCH(K109,Lookups!$F$3:$F$5,0)),0)</f>
        <v>1134</v>
      </c>
      <c r="N109" s="20">
        <v>280</v>
      </c>
      <c r="O109" s="21">
        <v>0</v>
      </c>
      <c r="P109" s="19">
        <f t="shared" si="10"/>
        <v>317520</v>
      </c>
      <c r="Q109" s="16" t="str">
        <f>ROUND(AA109*Lookups!$O$3,0)&amp;" - "&amp;ROUND(AB109*Lookups!$O$3,0)&amp;" km/h"</f>
        <v>29 - 45 km/h</v>
      </c>
      <c r="R109" s="22">
        <f>IF(ISNUMBER(SEARCH("meters",W109)),ROUND(VALUE(SUBSTITUTE(LEFT(W109,FIND(" ",W109)-1),",",""))/Lookups!$O$4,0),ROUND(VALUE(LEFT(W109,FIND(" ",W109)-1))*Lookups!$O$3,0))</f>
        <v>40</v>
      </c>
      <c r="S109" s="16" t="s">
        <v>138</v>
      </c>
      <c r="T109" s="16" t="s">
        <v>139</v>
      </c>
      <c r="U109" s="16" t="s">
        <v>99</v>
      </c>
      <c r="V109" s="16" t="s">
        <v>100</v>
      </c>
      <c r="W109" s="16" t="s">
        <v>101</v>
      </c>
      <c r="X109" s="16" t="s">
        <v>148</v>
      </c>
      <c r="Y109" s="16" t="s">
        <v>141</v>
      </c>
      <c r="Z109" s="16" t="s">
        <v>149</v>
      </c>
      <c r="AA109" s="16">
        <f>IF(U109="",INDEX(Lookups!$J$3:$J$5,MATCH(E109,Lookups!$I$3:$I$5,0)),VALUE(LEFT(U109,FIND(" ",U109)-1)))</f>
        <v>18</v>
      </c>
      <c r="AB109" s="16">
        <f t="shared" si="11"/>
        <v>28</v>
      </c>
    </row>
    <row r="110" spans="1:28" x14ac:dyDescent="0.3">
      <c r="A110" s="16">
        <v>109</v>
      </c>
      <c r="B110" s="16" t="str">
        <f t="shared" si="9"/>
        <v>Joshi, Sanya</v>
      </c>
      <c r="C110" s="16" t="s">
        <v>30</v>
      </c>
      <c r="D110" s="16" t="str">
        <f>"Q"&amp;ROUNDUP(MATCH(C110,Lookups!$L$3:$L$14,0)/3,0)</f>
        <v>Q4</v>
      </c>
      <c r="E110" s="16" t="s">
        <v>41</v>
      </c>
      <c r="F110" s="16" t="s">
        <v>79</v>
      </c>
      <c r="G110" s="16" t="s">
        <v>80</v>
      </c>
      <c r="H110" s="17" t="s">
        <v>81</v>
      </c>
      <c r="I110" s="16" t="str">
        <f>INDEX(Lookups!$B$3:$B$6,MATCH(Y110,Lookups!$A$3:$A$6,0))</f>
        <v>India</v>
      </c>
      <c r="J110" s="16" t="str">
        <f>INDEX(Lookups!$C$3:$C$6,MATCH(Y110,Lookups!$A$3:$A$6,0))</f>
        <v>Asia</v>
      </c>
      <c r="K110" s="16" t="str">
        <f>INDEX(Lookups!$D$3:$D$6,MATCH(Y110,Lookups!$A$3:$A$6,0))</f>
        <v>INR</v>
      </c>
      <c r="L110" s="18">
        <v>30000</v>
      </c>
      <c r="M110" s="19">
        <f>ROUND(L110*INDEX(Lookups!$G$3:$G$5,MATCH(K110,Lookups!$F$3:$F$5,0)),0)</f>
        <v>360</v>
      </c>
      <c r="N110" s="20">
        <v>150</v>
      </c>
      <c r="O110" s="21">
        <v>0</v>
      </c>
      <c r="P110" s="19">
        <f t="shared" si="10"/>
        <v>54000</v>
      </c>
      <c r="Q110" s="16" t="str">
        <f>ROUND(AA110*Lookups!$O$3,0)&amp;" - "&amp;ROUND(AB110*Lookups!$O$3,0)&amp;" km/h"</f>
        <v>24 - 48 km/h</v>
      </c>
      <c r="R110" s="22">
        <f>IF(ISNUMBER(SEARCH("meters",W110)),ROUND(VALUE(SUBSTITUTE(LEFT(W110,FIND(" ",W110)-1),",",""))/Lookups!$O$4,0),ROUND(VALUE(LEFT(W110,FIND(" ",W110)-1))*Lookups!$O$3,0))</f>
        <v>48</v>
      </c>
      <c r="S110" s="16" t="s">
        <v>82</v>
      </c>
      <c r="T110" s="16" t="s">
        <v>83</v>
      </c>
      <c r="U110" s="16" t="s">
        <v>84</v>
      </c>
      <c r="V110" s="16" t="s">
        <v>85</v>
      </c>
      <c r="W110" s="16" t="s">
        <v>86</v>
      </c>
      <c r="X110" s="16" t="s">
        <v>87</v>
      </c>
      <c r="Y110" s="16" t="s">
        <v>88</v>
      </c>
      <c r="Z110" s="16" t="s">
        <v>89</v>
      </c>
      <c r="AA110" s="16">
        <f>IF(U110="",INDEX(Lookups!$J$3:$J$5,MATCH(E110,Lookups!$I$3:$I$5,0)),VALUE(LEFT(U110,FIND(" ",U110)-1)))</f>
        <v>15</v>
      </c>
      <c r="AB110" s="16">
        <f t="shared" si="11"/>
        <v>30</v>
      </c>
    </row>
    <row r="111" spans="1:28" x14ac:dyDescent="0.3">
      <c r="A111" s="16">
        <v>110</v>
      </c>
      <c r="B111" s="16" t="str">
        <f t="shared" si="9"/>
        <v>Joshi, Sanya</v>
      </c>
      <c r="C111" s="16" t="s">
        <v>30</v>
      </c>
      <c r="D111" s="16" t="str">
        <f>"Q"&amp;ROUNDUP(MATCH(C111,Lookups!$L$3:$L$14,0)/3,0)</f>
        <v>Q4</v>
      </c>
      <c r="E111" s="16" t="s">
        <v>42</v>
      </c>
      <c r="F111" s="16" t="s">
        <v>91</v>
      </c>
      <c r="G111" s="16" t="s">
        <v>80</v>
      </c>
      <c r="H111" s="17" t="s">
        <v>81</v>
      </c>
      <c r="I111" s="16" t="str">
        <f>INDEX(Lookups!$B$3:$B$6,MATCH(Y111,Lookups!$A$3:$A$6,0))</f>
        <v>India</v>
      </c>
      <c r="J111" s="16" t="str">
        <f>INDEX(Lookups!$C$3:$C$6,MATCH(Y111,Lookups!$A$3:$A$6,0))</f>
        <v>Asia</v>
      </c>
      <c r="K111" s="16" t="str">
        <f>INDEX(Lookups!$D$3:$D$6,MATCH(Y111,Lookups!$A$3:$A$6,0))</f>
        <v>INR</v>
      </c>
      <c r="L111" s="18">
        <v>25000</v>
      </c>
      <c r="M111" s="19">
        <f>ROUND(L111*INDEX(Lookups!$G$3:$G$5,MATCH(K111,Lookups!$F$3:$F$5,0)),0)</f>
        <v>300</v>
      </c>
      <c r="N111" s="20">
        <v>400</v>
      </c>
      <c r="O111" s="21">
        <v>0</v>
      </c>
      <c r="P111" s="19">
        <f t="shared" si="10"/>
        <v>120000</v>
      </c>
      <c r="Q111" s="16" t="str">
        <f>ROUND(AA111*Lookups!$O$3,0)&amp;" - "&amp;ROUND(AB111*Lookups!$O$3,0)&amp;" km/h"</f>
        <v>32 - 56 km/h</v>
      </c>
      <c r="R111" s="22">
        <f>IF(ISNUMBER(SEARCH("meters",W111)),ROUND(VALUE(SUBSTITUTE(LEFT(W111,FIND(" ",W111)-1),",",""))/Lookups!$O$4,0),ROUND(VALUE(LEFT(W111,FIND(" ",W111)-1))*Lookups!$O$3,0))</f>
        <v>64</v>
      </c>
      <c r="S111" s="16" t="s">
        <v>82</v>
      </c>
      <c r="T111" s="16" t="s">
        <v>83</v>
      </c>
      <c r="U111" s="16" t="s">
        <v>92</v>
      </c>
      <c r="V111" s="16" t="s">
        <v>93</v>
      </c>
      <c r="W111" s="16" t="s">
        <v>94</v>
      </c>
      <c r="X111" s="16" t="s">
        <v>95</v>
      </c>
      <c r="Y111" s="16" t="s">
        <v>88</v>
      </c>
      <c r="Z111" s="16" t="s">
        <v>96</v>
      </c>
      <c r="AA111" s="16">
        <f>IF(U111="",INDEX(Lookups!$J$3:$J$5,MATCH(E111,Lookups!$I$3:$I$5,0)),VALUE(LEFT(U111,FIND(" ",U111)-1)))</f>
        <v>20</v>
      </c>
      <c r="AB111" s="16">
        <f t="shared" si="11"/>
        <v>35</v>
      </c>
    </row>
    <row r="112" spans="1:28" x14ac:dyDescent="0.3">
      <c r="A112" s="16">
        <v>111</v>
      </c>
      <c r="B112" s="16" t="str">
        <f t="shared" si="9"/>
        <v>Joshi, Sanya</v>
      </c>
      <c r="C112" s="16" t="s">
        <v>30</v>
      </c>
      <c r="D112" s="16" t="str">
        <f>"Q"&amp;ROUNDUP(MATCH(C112,Lookups!$L$3:$L$14,0)/3,0)</f>
        <v>Q4</v>
      </c>
      <c r="E112" s="16" t="s">
        <v>43</v>
      </c>
      <c r="F112" s="16" t="s">
        <v>98</v>
      </c>
      <c r="G112" s="16" t="s">
        <v>80</v>
      </c>
      <c r="H112" s="17" t="s">
        <v>81</v>
      </c>
      <c r="I112" s="16" t="str">
        <f>INDEX(Lookups!$B$3:$B$6,MATCH(Y112,Lookups!$A$3:$A$6,0))</f>
        <v>India</v>
      </c>
      <c r="J112" s="16" t="str">
        <f>INDEX(Lookups!$C$3:$C$6,MATCH(Y112,Lookups!$A$3:$A$6,0))</f>
        <v>Asia</v>
      </c>
      <c r="K112" s="16" t="str">
        <f>INDEX(Lookups!$D$3:$D$6,MATCH(Y112,Lookups!$A$3:$A$6,0))</f>
        <v>INR</v>
      </c>
      <c r="L112" s="18">
        <v>22000</v>
      </c>
      <c r="M112" s="19">
        <f>ROUND(L112*INDEX(Lookups!$G$3:$G$5,MATCH(K112,Lookups!$F$3:$F$5,0)),0)</f>
        <v>264</v>
      </c>
      <c r="N112" s="20">
        <v>280</v>
      </c>
      <c r="O112" s="21">
        <v>0</v>
      </c>
      <c r="P112" s="19">
        <f t="shared" si="10"/>
        <v>73920</v>
      </c>
      <c r="Q112" s="16" t="str">
        <f>ROUND(AA112*Lookups!$O$3,0)&amp;" - "&amp;ROUND(AB112*Lookups!$O$3,0)&amp;" km/h"</f>
        <v>29 - 45 km/h</v>
      </c>
      <c r="R112" s="22">
        <f>IF(ISNUMBER(SEARCH("meters",W112)),ROUND(VALUE(SUBSTITUTE(LEFT(W112,FIND(" ",W112)-1),",",""))/Lookups!$O$4,0),ROUND(VALUE(LEFT(W112,FIND(" ",W112)-1))*Lookups!$O$3,0))</f>
        <v>40</v>
      </c>
      <c r="S112" s="16" t="s">
        <v>82</v>
      </c>
      <c r="T112" s="16" t="s">
        <v>83</v>
      </c>
      <c r="U112" s="16" t="s">
        <v>99</v>
      </c>
      <c r="V112" s="16" t="s">
        <v>100</v>
      </c>
      <c r="W112" s="16" t="s">
        <v>117</v>
      </c>
      <c r="X112" s="16" t="s">
        <v>102</v>
      </c>
      <c r="Y112" s="16" t="s">
        <v>88</v>
      </c>
      <c r="Z112" s="16" t="s">
        <v>103</v>
      </c>
      <c r="AA112" s="16">
        <f>IF(U112="",INDEX(Lookups!$J$3:$J$5,MATCH(E112,Lookups!$I$3:$I$5,0)),VALUE(LEFT(U112,FIND(" ",U112)-1)))</f>
        <v>18</v>
      </c>
      <c r="AB112" s="16">
        <f t="shared" si="11"/>
        <v>28</v>
      </c>
    </row>
    <row r="113" spans="1:28" x14ac:dyDescent="0.3">
      <c r="A113" s="16">
        <v>112</v>
      </c>
      <c r="B113" s="16" t="str">
        <f t="shared" si="9"/>
        <v>Liu, Fang</v>
      </c>
      <c r="C113" s="16" t="s">
        <v>30</v>
      </c>
      <c r="D113" s="16" t="str">
        <f>"Q"&amp;ROUNDUP(MATCH(C113,Lookups!$L$3:$L$14,0)/3,0)</f>
        <v>Q4</v>
      </c>
      <c r="E113" s="16" t="s">
        <v>41</v>
      </c>
      <c r="F113" s="16" t="s">
        <v>105</v>
      </c>
      <c r="G113" s="16" t="s">
        <v>106</v>
      </c>
      <c r="H113" s="17" t="s">
        <v>107</v>
      </c>
      <c r="I113" s="16" t="str">
        <f>INDEX(Lookups!$B$3:$B$6,MATCH(Y113,Lookups!$A$3:$A$6,0))</f>
        <v>China</v>
      </c>
      <c r="J113" s="16" t="str">
        <f>INDEX(Lookups!$C$3:$C$6,MATCH(Y113,Lookups!$A$3:$A$6,0))</f>
        <v>Asia</v>
      </c>
      <c r="K113" s="16" t="str">
        <f>INDEX(Lookups!$D$3:$D$6,MATCH(Y113,Lookups!$A$3:$A$6,0))</f>
        <v>CNY</v>
      </c>
      <c r="L113" s="24">
        <v>5000</v>
      </c>
      <c r="M113" s="19">
        <f>ROUND(L113*INDEX(Lookups!$G$3:$G$5,MATCH(K113,Lookups!$F$3:$F$5,0)),0)</f>
        <v>700</v>
      </c>
      <c r="N113" s="20">
        <v>550</v>
      </c>
      <c r="O113" s="21">
        <v>0</v>
      </c>
      <c r="P113" s="19">
        <f t="shared" si="10"/>
        <v>385000</v>
      </c>
      <c r="Q113" s="16" t="str">
        <f>ROUND(AA113*Lookups!$O$3,0)&amp;" - "&amp;ROUND(AB113*Lookups!$O$3,0)&amp;" km/h"</f>
        <v>24 - 48 km/h</v>
      </c>
      <c r="R113" s="22">
        <f>IF(ISNUMBER(SEARCH("meters",W113)),ROUND(VALUE(SUBSTITUTE(LEFT(W113,FIND(" ",W113)-1),",",""))/Lookups!$O$4,0),ROUND(VALUE(LEFT(W113,FIND(" ",W113)-1))*Lookups!$O$3,0))</f>
        <v>48</v>
      </c>
      <c r="S113" s="16" t="s">
        <v>108</v>
      </c>
      <c r="T113" s="16" t="s">
        <v>109</v>
      </c>
      <c r="U113" s="16" t="s">
        <v>84</v>
      </c>
      <c r="V113" s="16" t="s">
        <v>85</v>
      </c>
      <c r="W113" s="16" t="s">
        <v>86</v>
      </c>
      <c r="X113" s="16" t="s">
        <v>110</v>
      </c>
      <c r="Y113" s="16" t="s">
        <v>111</v>
      </c>
      <c r="Z113" s="16" t="s">
        <v>112</v>
      </c>
      <c r="AA113" s="16">
        <f>IF(U113="",INDEX(Lookups!$J$3:$J$5,MATCH(E113,Lookups!$I$3:$I$5,0)),VALUE(LEFT(U113,FIND(" ",U113)-1)))</f>
        <v>15</v>
      </c>
      <c r="AB113" s="16">
        <f t="shared" si="11"/>
        <v>30</v>
      </c>
    </row>
    <row r="114" spans="1:28" x14ac:dyDescent="0.3">
      <c r="A114" s="16">
        <v>113</v>
      </c>
      <c r="B114" s="16" t="str">
        <f t="shared" si="9"/>
        <v>Liu, Fang</v>
      </c>
      <c r="C114" s="16" t="s">
        <v>30</v>
      </c>
      <c r="D114" s="16" t="str">
        <f>"Q"&amp;ROUNDUP(MATCH(C114,Lookups!$L$3:$L$14,0)/3,0)</f>
        <v>Q4</v>
      </c>
      <c r="E114" s="16" t="s">
        <v>42</v>
      </c>
      <c r="F114" s="16" t="s">
        <v>113</v>
      </c>
      <c r="G114" s="16" t="s">
        <v>106</v>
      </c>
      <c r="H114" s="17" t="s">
        <v>107</v>
      </c>
      <c r="I114" s="16" t="str">
        <f>INDEX(Lookups!$B$3:$B$6,MATCH(Y114,Lookups!$A$3:$A$6,0))</f>
        <v>China</v>
      </c>
      <c r="J114" s="16" t="str">
        <f>INDEX(Lookups!$C$3:$C$6,MATCH(Y114,Lookups!$A$3:$A$6,0))</f>
        <v>Asia</v>
      </c>
      <c r="K114" s="16" t="str">
        <f>INDEX(Lookups!$D$3:$D$6,MATCH(Y114,Lookups!$A$3:$A$6,0))</f>
        <v>CNY</v>
      </c>
      <c r="L114" s="24">
        <v>3500</v>
      </c>
      <c r="M114" s="19">
        <f>ROUND(L114*INDEX(Lookups!$G$3:$G$5,MATCH(K114,Lookups!$F$3:$F$5,0)),0)</f>
        <v>490</v>
      </c>
      <c r="N114" s="20">
        <v>1300</v>
      </c>
      <c r="O114" s="21">
        <v>0</v>
      </c>
      <c r="P114" s="19">
        <f t="shared" si="10"/>
        <v>637000</v>
      </c>
      <c r="Q114" s="16" t="str">
        <f>ROUND(AA114*Lookups!$O$3,0)&amp;" - "&amp;ROUND(AB114*Lookups!$O$3,0)&amp;" km/h"</f>
        <v>32 - 56 km/h</v>
      </c>
      <c r="R114" s="22">
        <f>IF(ISNUMBER(SEARCH("meters",W114)),ROUND(VALUE(SUBSTITUTE(LEFT(W114,FIND(" ",W114)-1),",",""))/Lookups!$O$4,0),ROUND(VALUE(LEFT(W114,FIND(" ",W114)-1))*Lookups!$O$3,0))</f>
        <v>64</v>
      </c>
      <c r="S114" s="16" t="s">
        <v>108</v>
      </c>
      <c r="T114" s="16" t="s">
        <v>109</v>
      </c>
      <c r="U114" s="16" t="s">
        <v>92</v>
      </c>
      <c r="V114" s="16" t="s">
        <v>93</v>
      </c>
      <c r="W114" s="16" t="s">
        <v>94</v>
      </c>
      <c r="X114" s="16" t="s">
        <v>114</v>
      </c>
      <c r="Y114" s="16" t="s">
        <v>111</v>
      </c>
      <c r="Z114" s="16" t="s">
        <v>115</v>
      </c>
      <c r="AA114" s="16">
        <f>IF(U114="",INDEX(Lookups!$J$3:$J$5,MATCH(E114,Lookups!$I$3:$I$5,0)),VALUE(LEFT(U114,FIND(" ",U114)-1)))</f>
        <v>20</v>
      </c>
      <c r="AB114" s="16">
        <f t="shared" si="11"/>
        <v>35</v>
      </c>
    </row>
    <row r="115" spans="1:28" x14ac:dyDescent="0.3">
      <c r="A115" s="16">
        <v>114</v>
      </c>
      <c r="B115" s="16" t="str">
        <f t="shared" si="9"/>
        <v>Liu, Fang</v>
      </c>
      <c r="C115" s="16" t="s">
        <v>30</v>
      </c>
      <c r="D115" s="16" t="str">
        <f>"Q"&amp;ROUNDUP(MATCH(C115,Lookups!$L$3:$L$14,0)/3,0)</f>
        <v>Q4</v>
      </c>
      <c r="E115" s="16" t="s">
        <v>43</v>
      </c>
      <c r="F115" s="16" t="s">
        <v>116</v>
      </c>
      <c r="G115" s="16" t="s">
        <v>106</v>
      </c>
      <c r="H115" s="17" t="s">
        <v>107</v>
      </c>
      <c r="I115" s="16" t="str">
        <f>INDEX(Lookups!$B$3:$B$6,MATCH(Y115,Lookups!$A$3:$A$6,0))</f>
        <v>China</v>
      </c>
      <c r="J115" s="16" t="str">
        <f>INDEX(Lookups!$C$3:$C$6,MATCH(Y115,Lookups!$A$3:$A$6,0))</f>
        <v>Asia</v>
      </c>
      <c r="K115" s="16" t="str">
        <f>INDEX(Lookups!$D$3:$D$6,MATCH(Y115,Lookups!$A$3:$A$6,0))</f>
        <v>CNY</v>
      </c>
      <c r="L115" s="24">
        <v>4200</v>
      </c>
      <c r="M115" s="19">
        <f>ROUND(L115*INDEX(Lookups!$G$3:$G$5,MATCH(K115,Lookups!$F$3:$F$5,0)),0)</f>
        <v>588</v>
      </c>
      <c r="N115" s="20">
        <v>750</v>
      </c>
      <c r="O115" s="21">
        <v>0</v>
      </c>
      <c r="P115" s="19">
        <f t="shared" si="10"/>
        <v>441000</v>
      </c>
      <c r="Q115" s="16" t="str">
        <f>ROUND(AA115*Lookups!$O$3,0)&amp;" - "&amp;ROUND(AB115*Lookups!$O$3,0)&amp;" km/h"</f>
        <v>29 - 45 km/h</v>
      </c>
      <c r="R115" s="22">
        <f>IF(ISNUMBER(SEARCH("meters",W115)),ROUND(VALUE(SUBSTITUTE(LEFT(W115,FIND(" ",W115)-1),",",""))/Lookups!$O$4,0),ROUND(VALUE(LEFT(W115,FIND(" ",W115)-1))*Lookups!$O$3,0))</f>
        <v>40</v>
      </c>
      <c r="S115" s="16" t="s">
        <v>108</v>
      </c>
      <c r="T115" s="16" t="s">
        <v>109</v>
      </c>
      <c r="U115" s="16" t="s">
        <v>99</v>
      </c>
      <c r="V115" s="16" t="s">
        <v>100</v>
      </c>
      <c r="W115" s="16" t="s">
        <v>101</v>
      </c>
      <c r="X115" s="16" t="s">
        <v>118</v>
      </c>
      <c r="Y115" s="16" t="s">
        <v>111</v>
      </c>
      <c r="Z115" s="16" t="s">
        <v>119</v>
      </c>
      <c r="AA115" s="16">
        <f>IF(U115="",INDEX(Lookups!$J$3:$J$5,MATCH(E115,Lookups!$I$3:$I$5,0)),VALUE(LEFT(U115,FIND(" ",U115)-1)))</f>
        <v>18</v>
      </c>
      <c r="AB115" s="16">
        <f t="shared" si="11"/>
        <v>28</v>
      </c>
    </row>
    <row r="116" spans="1:28" x14ac:dyDescent="0.3">
      <c r="A116" s="16">
        <v>115</v>
      </c>
      <c r="B116" s="16" t="str">
        <f t="shared" si="9"/>
        <v>Fischer, Jonas</v>
      </c>
      <c r="C116" s="16" t="s">
        <v>30</v>
      </c>
      <c r="D116" s="16" t="str">
        <f>"Q"&amp;ROUNDUP(MATCH(C116,Lookups!$L$3:$L$14,0)/3,0)</f>
        <v>Q4</v>
      </c>
      <c r="E116" s="16" t="s">
        <v>41</v>
      </c>
      <c r="F116" s="16" t="s">
        <v>120</v>
      </c>
      <c r="G116" s="16" t="s">
        <v>121</v>
      </c>
      <c r="H116" s="17" t="s">
        <v>122</v>
      </c>
      <c r="I116" s="16" t="str">
        <f>INDEX(Lookups!$B$3:$B$6,MATCH(Y116,Lookups!$A$3:$A$6,0))</f>
        <v>Germany</v>
      </c>
      <c r="J116" s="16" t="str">
        <f>INDEX(Lookups!$C$3:$C$6,MATCH(Y116,Lookups!$A$3:$A$6,0))</f>
        <v>Europe</v>
      </c>
      <c r="K116" s="16" t="str">
        <f>INDEX(Lookups!$D$3:$D$6,MATCH(Y116,Lookups!$A$3:$A$6,0))</f>
        <v>EUR</v>
      </c>
      <c r="L116" s="25">
        <v>1000</v>
      </c>
      <c r="M116" s="19">
        <f>ROUND(L116*INDEX(Lookups!$G$3:$G$5,MATCH(K116,Lookups!$F$3:$F$5,0)),0)</f>
        <v>1080</v>
      </c>
      <c r="N116" s="20">
        <v>140</v>
      </c>
      <c r="O116" s="21">
        <v>0</v>
      </c>
      <c r="P116" s="19">
        <f t="shared" si="10"/>
        <v>151200</v>
      </c>
      <c r="Q116" s="16" t="str">
        <f>ROUND(AA116*Lookups!$O$3,0)&amp;" - "&amp;ROUND(AB116*Lookups!$O$3,0)&amp;" km/h"</f>
        <v>24 - 48 km/h</v>
      </c>
      <c r="R116" s="22">
        <f>IF(ISNUMBER(SEARCH("meters",W116)),ROUND(VALUE(SUBSTITUTE(LEFT(W116,FIND(" ",W116)-1),",",""))/Lookups!$O$4,0),ROUND(VALUE(LEFT(W116,FIND(" ",W116)-1))*Lookups!$O$3,0))</f>
        <v>48</v>
      </c>
      <c r="S116" s="16" t="s">
        <v>123</v>
      </c>
      <c r="T116" s="16" t="s">
        <v>124</v>
      </c>
      <c r="U116" s="16" t="s">
        <v>84</v>
      </c>
      <c r="V116" s="16" t="s">
        <v>85</v>
      </c>
      <c r="W116" s="16" t="s">
        <v>86</v>
      </c>
      <c r="X116" s="16" t="s">
        <v>126</v>
      </c>
      <c r="Y116" s="16" t="s">
        <v>127</v>
      </c>
      <c r="Z116" s="16" t="s">
        <v>128</v>
      </c>
      <c r="AA116" s="16">
        <f>IF(U116="",INDEX(Lookups!$J$3:$J$5,MATCH(E116,Lookups!$I$3:$I$5,0)),VALUE(LEFT(U116,FIND(" ",U116)-1)))</f>
        <v>15</v>
      </c>
      <c r="AB116" s="16">
        <f t="shared" si="11"/>
        <v>30</v>
      </c>
    </row>
    <row r="117" spans="1:28" x14ac:dyDescent="0.3">
      <c r="A117" s="16">
        <v>116</v>
      </c>
      <c r="B117" s="16" t="str">
        <f t="shared" si="9"/>
        <v>Fischer, Jonas</v>
      </c>
      <c r="C117" s="16" t="s">
        <v>30</v>
      </c>
      <c r="D117" s="16" t="str">
        <f>"Q"&amp;ROUNDUP(MATCH(C117,Lookups!$L$3:$L$14,0)/3,0)</f>
        <v>Q4</v>
      </c>
      <c r="E117" s="16" t="s">
        <v>42</v>
      </c>
      <c r="F117" s="16" t="s">
        <v>129</v>
      </c>
      <c r="G117" s="16" t="s">
        <v>121</v>
      </c>
      <c r="H117" s="17" t="s">
        <v>122</v>
      </c>
      <c r="I117" s="16" t="str">
        <f>INDEX(Lookups!$B$3:$B$6,MATCH(Y117,Lookups!$A$3:$A$6,0))</f>
        <v>Germany</v>
      </c>
      <c r="J117" s="16" t="str">
        <f>INDEX(Lookups!$C$3:$C$6,MATCH(Y117,Lookups!$A$3:$A$6,0))</f>
        <v>Europe</v>
      </c>
      <c r="K117" s="16" t="str">
        <f>INDEX(Lookups!$D$3:$D$6,MATCH(Y117,Lookups!$A$3:$A$6,0))</f>
        <v>EUR</v>
      </c>
      <c r="L117" s="25">
        <v>800</v>
      </c>
      <c r="M117" s="19">
        <f>ROUND(L117*INDEX(Lookups!$G$3:$G$5,MATCH(K117,Lookups!$F$3:$F$5,0)),0)</f>
        <v>864</v>
      </c>
      <c r="N117" s="20">
        <v>300</v>
      </c>
      <c r="O117" s="21">
        <v>0</v>
      </c>
      <c r="P117" s="19">
        <f t="shared" si="10"/>
        <v>259200</v>
      </c>
      <c r="Q117" s="16" t="str">
        <f>ROUND(AA117*Lookups!$O$3,0)&amp;" - "&amp;ROUND(AB117*Lookups!$O$3,0)&amp;" km/h"</f>
        <v>32 - 56 km/h</v>
      </c>
      <c r="R117" s="22">
        <f>IF(ISNUMBER(SEARCH("meters",W117)),ROUND(VALUE(SUBSTITUTE(LEFT(W117,FIND(" ",W117)-1),",",""))/Lookups!$O$4,0),ROUND(VALUE(LEFT(W117,FIND(" ",W117)-1))*Lookups!$O$3,0))</f>
        <v>64</v>
      </c>
      <c r="S117" s="16" t="s">
        <v>123</v>
      </c>
      <c r="T117" s="16" t="s">
        <v>124</v>
      </c>
      <c r="U117" s="16"/>
      <c r="V117" s="16" t="s">
        <v>93</v>
      </c>
      <c r="W117" s="16" t="s">
        <v>94</v>
      </c>
      <c r="X117" s="16" t="s">
        <v>130</v>
      </c>
      <c r="Y117" s="16" t="s">
        <v>127</v>
      </c>
      <c r="Z117" s="16" t="s">
        <v>131</v>
      </c>
      <c r="AA117" s="16">
        <f>IF(U117="",INDEX(Lookups!$J$3:$J$5,MATCH(E117,Lookups!$I$3:$I$5,0)),VALUE(LEFT(U117,FIND(" ",U117)-1)))</f>
        <v>20</v>
      </c>
      <c r="AB117" s="16">
        <f t="shared" si="11"/>
        <v>35</v>
      </c>
    </row>
    <row r="118" spans="1:28" x14ac:dyDescent="0.3">
      <c r="A118" s="16">
        <v>117</v>
      </c>
      <c r="B118" s="16" t="str">
        <f t="shared" si="9"/>
        <v>Fischer, Jonas</v>
      </c>
      <c r="C118" s="16" t="s">
        <v>30</v>
      </c>
      <c r="D118" s="16" t="str">
        <f>"Q"&amp;ROUNDUP(MATCH(C118,Lookups!$L$3:$L$14,0)/3,0)</f>
        <v>Q4</v>
      </c>
      <c r="E118" s="16" t="s">
        <v>43</v>
      </c>
      <c r="F118" s="16" t="s">
        <v>132</v>
      </c>
      <c r="G118" s="16" t="s">
        <v>121</v>
      </c>
      <c r="H118" s="17" t="s">
        <v>122</v>
      </c>
      <c r="I118" s="16" t="str">
        <f>INDEX(Lookups!$B$3:$B$6,MATCH(Y118,Lookups!$A$3:$A$6,0))</f>
        <v>Germany</v>
      </c>
      <c r="J118" s="16" t="str">
        <f>INDEX(Lookups!$C$3:$C$6,MATCH(Y118,Lookups!$A$3:$A$6,0))</f>
        <v>Europe</v>
      </c>
      <c r="K118" s="16" t="str">
        <f>INDEX(Lookups!$D$3:$D$6,MATCH(Y118,Lookups!$A$3:$A$6,0))</f>
        <v>EUR</v>
      </c>
      <c r="L118" s="25">
        <v>950</v>
      </c>
      <c r="M118" s="19">
        <f>ROUND(L118*INDEX(Lookups!$G$3:$G$5,MATCH(K118,Lookups!$F$3:$F$5,0)),0)</f>
        <v>1026</v>
      </c>
      <c r="N118" s="20">
        <v>220</v>
      </c>
      <c r="O118" s="21">
        <v>0</v>
      </c>
      <c r="P118" s="19">
        <f t="shared" si="10"/>
        <v>225720</v>
      </c>
      <c r="Q118" s="16" t="str">
        <f>ROUND(AA118*Lookups!$O$3,0)&amp;" - "&amp;ROUND(AB118*Lookups!$O$3,0)&amp;" km/h"</f>
        <v>29 - 45 km/h</v>
      </c>
      <c r="R118" s="22">
        <f>IF(ISNUMBER(SEARCH("meters",W118)),ROUND(VALUE(SUBSTITUTE(LEFT(W118,FIND(" ",W118)-1),",",""))/Lookups!$O$4,0),ROUND(VALUE(LEFT(W118,FIND(" ",W118)-1))*Lookups!$O$3,0))</f>
        <v>40</v>
      </c>
      <c r="S118" s="16" t="s">
        <v>123</v>
      </c>
      <c r="T118" s="16" t="s">
        <v>124</v>
      </c>
      <c r="U118" s="16" t="s">
        <v>99</v>
      </c>
      <c r="V118" s="16" t="s">
        <v>100</v>
      </c>
      <c r="W118" s="16" t="s">
        <v>101</v>
      </c>
      <c r="X118" s="16" t="s">
        <v>133</v>
      </c>
      <c r="Y118" s="16" t="s">
        <v>127</v>
      </c>
      <c r="Z118" s="16" t="s">
        <v>134</v>
      </c>
      <c r="AA118" s="16">
        <f>IF(U118="",INDEX(Lookups!$J$3:$J$5,MATCH(E118,Lookups!$I$3:$I$5,0)),VALUE(LEFT(U118,FIND(" ",U118)-1)))</f>
        <v>18</v>
      </c>
      <c r="AB118" s="16">
        <f t="shared" si="11"/>
        <v>28</v>
      </c>
    </row>
    <row r="119" spans="1:28" x14ac:dyDescent="0.3">
      <c r="A119" s="16">
        <v>118</v>
      </c>
      <c r="B119" s="16" t="str">
        <f t="shared" si="9"/>
        <v>Bernard, Théo</v>
      </c>
      <c r="C119" s="16" t="s">
        <v>30</v>
      </c>
      <c r="D119" s="16" t="str">
        <f>"Q"&amp;ROUNDUP(MATCH(C119,Lookups!$L$3:$L$14,0)/3,0)</f>
        <v>Q4</v>
      </c>
      <c r="E119" s="16" t="s">
        <v>41</v>
      </c>
      <c r="F119" s="16" t="s">
        <v>135</v>
      </c>
      <c r="G119" s="16" t="s">
        <v>136</v>
      </c>
      <c r="H119" s="17" t="s">
        <v>137</v>
      </c>
      <c r="I119" s="16" t="str">
        <f>INDEX(Lookups!$B$3:$B$6,MATCH(Y119,Lookups!$A$3:$A$6,0))</f>
        <v>France</v>
      </c>
      <c r="J119" s="16" t="str">
        <f>INDEX(Lookups!$C$3:$C$6,MATCH(Y119,Lookups!$A$3:$A$6,0))</f>
        <v>Europe</v>
      </c>
      <c r="K119" s="16" t="str">
        <f>INDEX(Lookups!$D$3:$D$6,MATCH(Y119,Lookups!$A$3:$A$6,0))</f>
        <v>EUR</v>
      </c>
      <c r="L119" s="25">
        <v>1100</v>
      </c>
      <c r="M119" s="19">
        <f>ROUND(L119*INDEX(Lookups!$G$3:$G$5,MATCH(K119,Lookups!$F$3:$F$5,0)),0)</f>
        <v>1188</v>
      </c>
      <c r="N119" s="20">
        <v>130</v>
      </c>
      <c r="O119" s="21">
        <v>0</v>
      </c>
      <c r="P119" s="19">
        <f t="shared" si="10"/>
        <v>154440</v>
      </c>
      <c r="Q119" s="16" t="str">
        <f>ROUND(AA119*Lookups!$O$3,0)&amp;" - "&amp;ROUND(AB119*Lookups!$O$3,0)&amp;" km/h"</f>
        <v>24 - 48 km/h</v>
      </c>
      <c r="R119" s="22">
        <f>IF(ISNUMBER(SEARCH("meters",W119)),ROUND(VALUE(SUBSTITUTE(LEFT(W119,FIND(" ",W119)-1),",",""))/Lookups!$O$4,0),ROUND(VALUE(LEFT(W119,FIND(" ",W119)-1))*Lookups!$O$3,0))</f>
        <v>48</v>
      </c>
      <c r="S119" s="16" t="s">
        <v>138</v>
      </c>
      <c r="T119" s="16" t="s">
        <v>139</v>
      </c>
      <c r="U119" s="16" t="s">
        <v>84</v>
      </c>
      <c r="V119" s="16" t="s">
        <v>85</v>
      </c>
      <c r="W119" s="16" t="s">
        <v>86</v>
      </c>
      <c r="X119" s="16" t="s">
        <v>140</v>
      </c>
      <c r="Y119" s="16" t="s">
        <v>141</v>
      </c>
      <c r="Z119" s="16" t="s">
        <v>142</v>
      </c>
      <c r="AA119" s="16">
        <f>IF(U119="",INDEX(Lookups!$J$3:$J$5,MATCH(E119,Lookups!$I$3:$I$5,0)),VALUE(LEFT(U119,FIND(" ",U119)-1)))</f>
        <v>15</v>
      </c>
      <c r="AB119" s="16">
        <f t="shared" si="11"/>
        <v>30</v>
      </c>
    </row>
    <row r="120" spans="1:28" x14ac:dyDescent="0.3">
      <c r="A120" s="16">
        <v>119</v>
      </c>
      <c r="B120" s="16" t="str">
        <f t="shared" si="9"/>
        <v>Bernard, Théo</v>
      </c>
      <c r="C120" s="16" t="s">
        <v>30</v>
      </c>
      <c r="D120" s="16" t="str">
        <f>"Q"&amp;ROUNDUP(MATCH(C120,Lookups!$L$3:$L$14,0)/3,0)</f>
        <v>Q4</v>
      </c>
      <c r="E120" s="16" t="s">
        <v>42</v>
      </c>
      <c r="F120" s="16" t="s">
        <v>143</v>
      </c>
      <c r="G120" s="16" t="s">
        <v>136</v>
      </c>
      <c r="H120" s="17" t="s">
        <v>137</v>
      </c>
      <c r="I120" s="16" t="str">
        <f>INDEX(Lookups!$B$3:$B$6,MATCH(Y120,Lookups!$A$3:$A$6,0))</f>
        <v>France</v>
      </c>
      <c r="J120" s="16" t="str">
        <f>INDEX(Lookups!$C$3:$C$6,MATCH(Y120,Lookups!$A$3:$A$6,0))</f>
        <v>Europe</v>
      </c>
      <c r="K120" s="16" t="str">
        <f>INDEX(Lookups!$D$3:$D$6,MATCH(Y120,Lookups!$A$3:$A$6,0))</f>
        <v>EUR</v>
      </c>
      <c r="L120" s="25">
        <v>900</v>
      </c>
      <c r="M120" s="19">
        <f>ROUND(L120*INDEX(Lookups!$G$3:$G$5,MATCH(K120,Lookups!$F$3:$F$5,0)),0)</f>
        <v>972</v>
      </c>
      <c r="N120" s="20">
        <v>290</v>
      </c>
      <c r="O120" s="21">
        <v>0</v>
      </c>
      <c r="P120" s="19">
        <f t="shared" si="10"/>
        <v>281880</v>
      </c>
      <c r="Q120" s="16" t="str">
        <f>ROUND(AA120*Lookups!$O$3,0)&amp;" - "&amp;ROUND(AB120*Lookups!$O$3,0)&amp;" km/h"</f>
        <v>32 - 56 km/h</v>
      </c>
      <c r="R120" s="22">
        <f>IF(ISNUMBER(SEARCH("meters",W120)),ROUND(VALUE(SUBSTITUTE(LEFT(W120,FIND(" ",W120)-1),",",""))/Lookups!$O$4,0),ROUND(VALUE(LEFT(W120,FIND(" ",W120)-1))*Lookups!$O$3,0))</f>
        <v>64</v>
      </c>
      <c r="S120" s="16" t="s">
        <v>138</v>
      </c>
      <c r="T120" s="16" t="s">
        <v>139</v>
      </c>
      <c r="U120" s="16" t="s">
        <v>92</v>
      </c>
      <c r="V120" s="16" t="s">
        <v>93</v>
      </c>
      <c r="W120" s="16" t="s">
        <v>94</v>
      </c>
      <c r="X120" s="16" t="s">
        <v>145</v>
      </c>
      <c r="Y120" s="16" t="s">
        <v>141</v>
      </c>
      <c r="Z120" s="16" t="s">
        <v>146</v>
      </c>
      <c r="AA120" s="16">
        <f>IF(U120="",INDEX(Lookups!$J$3:$J$5,MATCH(E120,Lookups!$I$3:$I$5,0)),VALUE(LEFT(U120,FIND(" ",U120)-1)))</f>
        <v>20</v>
      </c>
      <c r="AB120" s="16">
        <f t="shared" si="11"/>
        <v>35</v>
      </c>
    </row>
    <row r="121" spans="1:28" x14ac:dyDescent="0.3">
      <c r="A121" s="16">
        <v>120</v>
      </c>
      <c r="B121" s="16" t="str">
        <f t="shared" si="9"/>
        <v>Bernard, Théo</v>
      </c>
      <c r="C121" s="16" t="s">
        <v>30</v>
      </c>
      <c r="D121" s="16" t="str">
        <f>"Q"&amp;ROUNDUP(MATCH(C121,Lookups!$L$3:$L$14,0)/3,0)</f>
        <v>Q4</v>
      </c>
      <c r="E121" s="16" t="s">
        <v>43</v>
      </c>
      <c r="F121" s="16" t="s">
        <v>147</v>
      </c>
      <c r="G121" s="16" t="s">
        <v>136</v>
      </c>
      <c r="H121" s="17" t="s">
        <v>137</v>
      </c>
      <c r="I121" s="16" t="str">
        <f>INDEX(Lookups!$B$3:$B$6,MATCH(Y121,Lookups!$A$3:$A$6,0))</f>
        <v>France</v>
      </c>
      <c r="J121" s="16" t="str">
        <f>INDEX(Lookups!$C$3:$C$6,MATCH(Y121,Lookups!$A$3:$A$6,0))</f>
        <v>Europe</v>
      </c>
      <c r="K121" s="16" t="str">
        <f>INDEX(Lookups!$D$3:$D$6,MATCH(Y121,Lookups!$A$3:$A$6,0))</f>
        <v>EUR</v>
      </c>
      <c r="L121" s="25">
        <v>1050</v>
      </c>
      <c r="M121" s="19">
        <f>ROUND(L121*INDEX(Lookups!$G$3:$G$5,MATCH(K121,Lookups!$F$3:$F$5,0)),0)</f>
        <v>1134</v>
      </c>
      <c r="N121" s="20">
        <v>270</v>
      </c>
      <c r="O121" s="21">
        <v>0</v>
      </c>
      <c r="P121" s="19">
        <f t="shared" si="10"/>
        <v>306180</v>
      </c>
      <c r="Q121" s="16" t="str">
        <f>ROUND(AA121*Lookups!$O$3,0)&amp;" - "&amp;ROUND(AB121*Lookups!$O$3,0)&amp;" km/h"</f>
        <v>29 - 45 km/h</v>
      </c>
      <c r="R121" s="22">
        <f>IF(ISNUMBER(SEARCH("meters",W121)),ROUND(VALUE(SUBSTITUTE(LEFT(W121,FIND(" ",W121)-1),",",""))/Lookups!$O$4,0),ROUND(VALUE(LEFT(W121,FIND(" ",W121)-1))*Lookups!$O$3,0))</f>
        <v>40</v>
      </c>
      <c r="S121" s="16" t="s">
        <v>138</v>
      </c>
      <c r="T121" s="16" t="s">
        <v>139</v>
      </c>
      <c r="U121" s="16" t="s">
        <v>99</v>
      </c>
      <c r="V121" s="16" t="s">
        <v>100</v>
      </c>
      <c r="W121" s="16" t="s">
        <v>101</v>
      </c>
      <c r="X121" s="16" t="s">
        <v>148</v>
      </c>
      <c r="Y121" s="16" t="s">
        <v>141</v>
      </c>
      <c r="Z121" s="16" t="s">
        <v>149</v>
      </c>
      <c r="AA121" s="16">
        <f>IF(U121="",INDEX(Lookups!$J$3:$J$5,MATCH(E121,Lookups!$I$3:$I$5,0)),VALUE(LEFT(U121,FIND(" ",U121)-1)))</f>
        <v>18</v>
      </c>
      <c r="AB121" s="16">
        <f t="shared" si="11"/>
        <v>28</v>
      </c>
    </row>
    <row r="122" spans="1:28" x14ac:dyDescent="0.3">
      <c r="A122" s="16">
        <v>121</v>
      </c>
      <c r="B122" s="16" t="str">
        <f t="shared" si="9"/>
        <v>Joshi, Sanya</v>
      </c>
      <c r="C122" s="16" t="s">
        <v>31</v>
      </c>
      <c r="D122" s="16" t="str">
        <f>"Q"&amp;ROUNDUP(MATCH(C122,Lookups!$L$3:$L$14,0)/3,0)</f>
        <v>Q4</v>
      </c>
      <c r="E122" s="16" t="s">
        <v>41</v>
      </c>
      <c r="F122" s="16" t="s">
        <v>79</v>
      </c>
      <c r="G122" s="16" t="s">
        <v>80</v>
      </c>
      <c r="H122" s="17" t="s">
        <v>81</v>
      </c>
      <c r="I122" s="16" t="str">
        <f>INDEX(Lookups!$B$3:$B$6,MATCH(Y122,Lookups!$A$3:$A$6,0))</f>
        <v>India</v>
      </c>
      <c r="J122" s="16" t="str">
        <f>INDEX(Lookups!$C$3:$C$6,MATCH(Y122,Lookups!$A$3:$A$6,0))</f>
        <v>Asia</v>
      </c>
      <c r="K122" s="16" t="str">
        <f>INDEX(Lookups!$D$3:$D$6,MATCH(Y122,Lookups!$A$3:$A$6,0))</f>
        <v>INR</v>
      </c>
      <c r="L122" s="18">
        <v>30000</v>
      </c>
      <c r="M122" s="19">
        <f>ROUND(L122*INDEX(Lookups!$G$3:$G$5,MATCH(K122,Lookups!$F$3:$F$5,0)),0)</f>
        <v>360</v>
      </c>
      <c r="N122" s="20">
        <v>180</v>
      </c>
      <c r="O122" s="21">
        <v>15</v>
      </c>
      <c r="P122" s="19">
        <f t="shared" si="10"/>
        <v>55080</v>
      </c>
      <c r="Q122" s="16" t="str">
        <f>ROUND(AA122*Lookups!$O$3,0)&amp;" - "&amp;ROUND(AB122*Lookups!$O$3,0)&amp;" km/h"</f>
        <v>24 - 48 km/h</v>
      </c>
      <c r="R122" s="22">
        <f>IF(ISNUMBER(SEARCH("meters",W122)),ROUND(VALUE(SUBSTITUTE(LEFT(W122,FIND(" ",W122)-1),",",""))/Lookups!$O$4,0),ROUND(VALUE(LEFT(W122,FIND(" ",W122)-1))*Lookups!$O$3,0))</f>
        <v>48</v>
      </c>
      <c r="S122" s="16" t="s">
        <v>82</v>
      </c>
      <c r="T122" s="16" t="s">
        <v>83</v>
      </c>
      <c r="U122" s="16" t="s">
        <v>84</v>
      </c>
      <c r="V122" s="16" t="s">
        <v>85</v>
      </c>
      <c r="W122" s="16" t="s">
        <v>86</v>
      </c>
      <c r="X122" s="16" t="s">
        <v>87</v>
      </c>
      <c r="Y122" s="16" t="s">
        <v>88</v>
      </c>
      <c r="Z122" s="16" t="s">
        <v>89</v>
      </c>
      <c r="AA122" s="16">
        <f>IF(U122="",INDEX(Lookups!$J$3:$J$5,MATCH(E122,Lookups!$I$3:$I$5,0)),VALUE(LEFT(U122,FIND(" ",U122)-1)))</f>
        <v>15</v>
      </c>
      <c r="AB122" s="16">
        <f t="shared" si="11"/>
        <v>30</v>
      </c>
    </row>
    <row r="123" spans="1:28" x14ac:dyDescent="0.3">
      <c r="A123" s="16">
        <v>122</v>
      </c>
      <c r="B123" s="16" t="str">
        <f t="shared" si="9"/>
        <v>Joshi, Sanya</v>
      </c>
      <c r="C123" s="16" t="s">
        <v>31</v>
      </c>
      <c r="D123" s="16" t="str">
        <f>"Q"&amp;ROUNDUP(MATCH(C123,Lookups!$L$3:$L$14,0)/3,0)</f>
        <v>Q4</v>
      </c>
      <c r="E123" s="16" t="s">
        <v>42</v>
      </c>
      <c r="F123" s="16" t="s">
        <v>91</v>
      </c>
      <c r="G123" s="16" t="s">
        <v>80</v>
      </c>
      <c r="H123" s="17" t="s">
        <v>81</v>
      </c>
      <c r="I123" s="16" t="str">
        <f>INDEX(Lookups!$B$3:$B$6,MATCH(Y123,Lookups!$A$3:$A$6,0))</f>
        <v>India</v>
      </c>
      <c r="J123" s="16" t="str">
        <f>INDEX(Lookups!$C$3:$C$6,MATCH(Y123,Lookups!$A$3:$A$6,0))</f>
        <v>Asia</v>
      </c>
      <c r="K123" s="16" t="str">
        <f>INDEX(Lookups!$D$3:$D$6,MATCH(Y123,Lookups!$A$3:$A$6,0))</f>
        <v>INR</v>
      </c>
      <c r="L123" s="18">
        <v>25000</v>
      </c>
      <c r="M123" s="19">
        <f>ROUND(L123*INDEX(Lookups!$G$3:$G$5,MATCH(K123,Lookups!$F$3:$F$5,0)),0)</f>
        <v>300</v>
      </c>
      <c r="N123" s="20">
        <v>450</v>
      </c>
      <c r="O123" s="21">
        <v>15</v>
      </c>
      <c r="P123" s="19">
        <f t="shared" si="10"/>
        <v>114750</v>
      </c>
      <c r="Q123" s="16" t="str">
        <f>ROUND(AA123*Lookups!$O$3,0)&amp;" - "&amp;ROUND(AB123*Lookups!$O$3,0)&amp;" km/h"</f>
        <v>32 - 56 km/h</v>
      </c>
      <c r="R123" s="22">
        <f>IF(ISNUMBER(SEARCH("meters",W123)),ROUND(VALUE(SUBSTITUTE(LEFT(W123,FIND(" ",W123)-1),",",""))/Lookups!$O$4,0),ROUND(VALUE(LEFT(W123,FIND(" ",W123)-1))*Lookups!$O$3,0))</f>
        <v>64</v>
      </c>
      <c r="S123" s="16" t="s">
        <v>82</v>
      </c>
      <c r="T123" s="16" t="s">
        <v>83</v>
      </c>
      <c r="U123" s="16" t="s">
        <v>92</v>
      </c>
      <c r="V123" s="16" t="s">
        <v>93</v>
      </c>
      <c r="W123" s="16" t="s">
        <v>144</v>
      </c>
      <c r="X123" s="16" t="s">
        <v>95</v>
      </c>
      <c r="Y123" s="16" t="s">
        <v>88</v>
      </c>
      <c r="Z123" s="16" t="s">
        <v>96</v>
      </c>
      <c r="AA123" s="16">
        <f>IF(U123="",INDEX(Lookups!$J$3:$J$5,MATCH(E123,Lookups!$I$3:$I$5,0)),VALUE(LEFT(U123,FIND(" ",U123)-1)))</f>
        <v>20</v>
      </c>
      <c r="AB123" s="16">
        <f t="shared" si="11"/>
        <v>35</v>
      </c>
    </row>
    <row r="124" spans="1:28" x14ac:dyDescent="0.3">
      <c r="A124" s="16">
        <v>123</v>
      </c>
      <c r="B124" s="16" t="str">
        <f t="shared" si="9"/>
        <v>Joshi, Sanya</v>
      </c>
      <c r="C124" s="16" t="s">
        <v>31</v>
      </c>
      <c r="D124" s="16" t="str">
        <f>"Q"&amp;ROUNDUP(MATCH(C124,Lookups!$L$3:$L$14,0)/3,0)</f>
        <v>Q4</v>
      </c>
      <c r="E124" s="16" t="s">
        <v>43</v>
      </c>
      <c r="F124" s="16" t="s">
        <v>98</v>
      </c>
      <c r="G124" s="16" t="s">
        <v>80</v>
      </c>
      <c r="H124" s="17" t="s">
        <v>81</v>
      </c>
      <c r="I124" s="16" t="str">
        <f>INDEX(Lookups!$B$3:$B$6,MATCH(Y124,Lookups!$A$3:$A$6,0))</f>
        <v>India</v>
      </c>
      <c r="J124" s="16" t="str">
        <f>INDEX(Lookups!$C$3:$C$6,MATCH(Y124,Lookups!$A$3:$A$6,0))</f>
        <v>Asia</v>
      </c>
      <c r="K124" s="16" t="str">
        <f>INDEX(Lookups!$D$3:$D$6,MATCH(Y124,Lookups!$A$3:$A$6,0))</f>
        <v>INR</v>
      </c>
      <c r="L124" s="18">
        <v>22000</v>
      </c>
      <c r="M124" s="19">
        <f>ROUND(L124*INDEX(Lookups!$G$3:$G$5,MATCH(K124,Lookups!$F$3:$F$5,0)),0)</f>
        <v>264</v>
      </c>
      <c r="N124" s="20">
        <v>300</v>
      </c>
      <c r="O124" s="21">
        <v>15</v>
      </c>
      <c r="P124" s="19">
        <f t="shared" si="10"/>
        <v>67320</v>
      </c>
      <c r="Q124" s="16" t="str">
        <f>ROUND(AA124*Lookups!$O$3,0)&amp;" - "&amp;ROUND(AB124*Lookups!$O$3,0)&amp;" km/h"</f>
        <v>29 - 45 km/h</v>
      </c>
      <c r="R124" s="22">
        <f>IF(ISNUMBER(SEARCH("meters",W124)),ROUND(VALUE(SUBSTITUTE(LEFT(W124,FIND(" ",W124)-1),",",""))/Lookups!$O$4,0),ROUND(VALUE(LEFT(W124,FIND(" ",W124)-1))*Lookups!$O$3,0))</f>
        <v>40</v>
      </c>
      <c r="S124" s="16" t="s">
        <v>82</v>
      </c>
      <c r="T124" s="16" t="s">
        <v>83</v>
      </c>
      <c r="U124" s="16" t="s">
        <v>99</v>
      </c>
      <c r="V124" s="16" t="s">
        <v>100</v>
      </c>
      <c r="W124" s="16" t="s">
        <v>101</v>
      </c>
      <c r="X124" s="16" t="s">
        <v>102</v>
      </c>
      <c r="Y124" s="16" t="s">
        <v>88</v>
      </c>
      <c r="Z124" s="16" t="s">
        <v>103</v>
      </c>
      <c r="AA124" s="16">
        <f>IF(U124="",INDEX(Lookups!$J$3:$J$5,MATCH(E124,Lookups!$I$3:$I$5,0)),VALUE(LEFT(U124,FIND(" ",U124)-1)))</f>
        <v>18</v>
      </c>
      <c r="AB124" s="16">
        <f t="shared" si="11"/>
        <v>28</v>
      </c>
    </row>
    <row r="125" spans="1:28" x14ac:dyDescent="0.3">
      <c r="A125" s="16">
        <v>124</v>
      </c>
      <c r="B125" s="16" t="str">
        <f t="shared" si="9"/>
        <v>Liu, Fang</v>
      </c>
      <c r="C125" s="16" t="s">
        <v>31</v>
      </c>
      <c r="D125" s="16" t="str">
        <f>"Q"&amp;ROUNDUP(MATCH(C125,Lookups!$L$3:$L$14,0)/3,0)</f>
        <v>Q4</v>
      </c>
      <c r="E125" s="16" t="s">
        <v>41</v>
      </c>
      <c r="F125" s="16" t="s">
        <v>105</v>
      </c>
      <c r="G125" s="16" t="s">
        <v>106</v>
      </c>
      <c r="H125" s="17" t="s">
        <v>107</v>
      </c>
      <c r="I125" s="16" t="str">
        <f>INDEX(Lookups!$B$3:$B$6,MATCH(Y125,Lookups!$A$3:$A$6,0))</f>
        <v>China</v>
      </c>
      <c r="J125" s="16" t="str">
        <f>INDEX(Lookups!$C$3:$C$6,MATCH(Y125,Lookups!$A$3:$A$6,0))</f>
        <v>Asia</v>
      </c>
      <c r="K125" s="16" t="str">
        <f>INDEX(Lookups!$D$3:$D$6,MATCH(Y125,Lookups!$A$3:$A$6,0))</f>
        <v>CNY</v>
      </c>
      <c r="L125" s="24">
        <v>5000</v>
      </c>
      <c r="M125" s="19">
        <f>ROUND(L125*INDEX(Lookups!$G$3:$G$5,MATCH(K125,Lookups!$F$3:$F$5,0)),0)</f>
        <v>700</v>
      </c>
      <c r="N125" s="20">
        <v>600</v>
      </c>
      <c r="O125" s="21">
        <v>15</v>
      </c>
      <c r="P125" s="19">
        <f t="shared" si="10"/>
        <v>357000</v>
      </c>
      <c r="Q125" s="16" t="str">
        <f>ROUND(AA125*Lookups!$O$3,0)&amp;" - "&amp;ROUND(AB125*Lookups!$O$3,0)&amp;" km/h"</f>
        <v>24 - 48 km/h</v>
      </c>
      <c r="R125" s="22">
        <f>IF(ISNUMBER(SEARCH("meters",W125)),ROUND(VALUE(SUBSTITUTE(LEFT(W125,FIND(" ",W125)-1),",",""))/Lookups!$O$4,0),ROUND(VALUE(LEFT(W125,FIND(" ",W125)-1))*Lookups!$O$3,0))</f>
        <v>48</v>
      </c>
      <c r="S125" s="16" t="s">
        <v>108</v>
      </c>
      <c r="T125" s="16" t="s">
        <v>109</v>
      </c>
      <c r="U125" s="16" t="s">
        <v>84</v>
      </c>
      <c r="V125" s="16" t="s">
        <v>85</v>
      </c>
      <c r="W125" s="16" t="s">
        <v>86</v>
      </c>
      <c r="X125" s="16" t="s">
        <v>110</v>
      </c>
      <c r="Y125" s="16" t="s">
        <v>111</v>
      </c>
      <c r="Z125" s="16" t="s">
        <v>112</v>
      </c>
      <c r="AA125" s="16">
        <f>IF(U125="",INDEX(Lookups!$J$3:$J$5,MATCH(E125,Lookups!$I$3:$I$5,0)),VALUE(LEFT(U125,FIND(" ",U125)-1)))</f>
        <v>15</v>
      </c>
      <c r="AB125" s="16">
        <f t="shared" si="11"/>
        <v>30</v>
      </c>
    </row>
    <row r="126" spans="1:28" x14ac:dyDescent="0.3">
      <c r="A126" s="16">
        <v>125</v>
      </c>
      <c r="B126" s="16" t="str">
        <f t="shared" si="9"/>
        <v>Liu, Fang</v>
      </c>
      <c r="C126" s="16" t="s">
        <v>31</v>
      </c>
      <c r="D126" s="16" t="str">
        <f>"Q"&amp;ROUNDUP(MATCH(C126,Lookups!$L$3:$L$14,0)/3,0)</f>
        <v>Q4</v>
      </c>
      <c r="E126" s="16" t="s">
        <v>42</v>
      </c>
      <c r="F126" s="16" t="s">
        <v>113</v>
      </c>
      <c r="G126" s="16" t="s">
        <v>106</v>
      </c>
      <c r="H126" s="17" t="s">
        <v>107</v>
      </c>
      <c r="I126" s="16" t="str">
        <f>INDEX(Lookups!$B$3:$B$6,MATCH(Y126,Lookups!$A$3:$A$6,0))</f>
        <v>China</v>
      </c>
      <c r="J126" s="16" t="str">
        <f>INDEX(Lookups!$C$3:$C$6,MATCH(Y126,Lookups!$A$3:$A$6,0))</f>
        <v>Asia</v>
      </c>
      <c r="K126" s="16" t="str">
        <f>INDEX(Lookups!$D$3:$D$6,MATCH(Y126,Lookups!$A$3:$A$6,0))</f>
        <v>CNY</v>
      </c>
      <c r="L126" s="24">
        <v>3500</v>
      </c>
      <c r="M126" s="19">
        <f>ROUND(L126*INDEX(Lookups!$G$3:$G$5,MATCH(K126,Lookups!$F$3:$F$5,0)),0)</f>
        <v>490</v>
      </c>
      <c r="N126" s="20">
        <v>1500</v>
      </c>
      <c r="O126" s="21">
        <v>15</v>
      </c>
      <c r="P126" s="19">
        <f t="shared" si="10"/>
        <v>624750</v>
      </c>
      <c r="Q126" s="16" t="str">
        <f>ROUND(AA126*Lookups!$O$3,0)&amp;" - "&amp;ROUND(AB126*Lookups!$O$3,0)&amp;" km/h"</f>
        <v>32 - 56 km/h</v>
      </c>
      <c r="R126" s="22">
        <f>IF(ISNUMBER(SEARCH("meters",W126)),ROUND(VALUE(SUBSTITUTE(LEFT(W126,FIND(" ",W126)-1),",",""))/Lookups!$O$4,0),ROUND(VALUE(LEFT(W126,FIND(" ",W126)-1))*Lookups!$O$3,0))</f>
        <v>64</v>
      </c>
      <c r="S126" s="16" t="s">
        <v>108</v>
      </c>
      <c r="T126" s="16" t="s">
        <v>109</v>
      </c>
      <c r="U126" s="16" t="s">
        <v>92</v>
      </c>
      <c r="V126" s="16" t="s">
        <v>93</v>
      </c>
      <c r="W126" s="16" t="s">
        <v>94</v>
      </c>
      <c r="X126" s="16" t="s">
        <v>114</v>
      </c>
      <c r="Y126" s="16" t="s">
        <v>111</v>
      </c>
      <c r="Z126" s="16" t="s">
        <v>115</v>
      </c>
      <c r="AA126" s="16">
        <f>IF(U126="",INDEX(Lookups!$J$3:$J$5,MATCH(E126,Lookups!$I$3:$I$5,0)),VALUE(LEFT(U126,FIND(" ",U126)-1)))</f>
        <v>20</v>
      </c>
      <c r="AB126" s="16">
        <f t="shared" si="11"/>
        <v>35</v>
      </c>
    </row>
    <row r="127" spans="1:28" x14ac:dyDescent="0.3">
      <c r="A127" s="16">
        <v>126</v>
      </c>
      <c r="B127" s="16" t="str">
        <f t="shared" si="9"/>
        <v>Liu, Fang</v>
      </c>
      <c r="C127" s="16" t="s">
        <v>31</v>
      </c>
      <c r="D127" s="16" t="str">
        <f>"Q"&amp;ROUNDUP(MATCH(C127,Lookups!$L$3:$L$14,0)/3,0)</f>
        <v>Q4</v>
      </c>
      <c r="E127" s="16" t="s">
        <v>43</v>
      </c>
      <c r="F127" s="16" t="s">
        <v>116</v>
      </c>
      <c r="G127" s="16" t="s">
        <v>106</v>
      </c>
      <c r="H127" s="17" t="s">
        <v>107</v>
      </c>
      <c r="I127" s="16" t="str">
        <f>INDEX(Lookups!$B$3:$B$6,MATCH(Y127,Lookups!$A$3:$A$6,0))</f>
        <v>China</v>
      </c>
      <c r="J127" s="16" t="str">
        <f>INDEX(Lookups!$C$3:$C$6,MATCH(Y127,Lookups!$A$3:$A$6,0))</f>
        <v>Asia</v>
      </c>
      <c r="K127" s="16" t="str">
        <f>INDEX(Lookups!$D$3:$D$6,MATCH(Y127,Lookups!$A$3:$A$6,0))</f>
        <v>CNY</v>
      </c>
      <c r="L127" s="24">
        <v>4200</v>
      </c>
      <c r="M127" s="19">
        <f>ROUND(L127*INDEX(Lookups!$G$3:$G$5,MATCH(K127,Lookups!$F$3:$F$5,0)),0)</f>
        <v>588</v>
      </c>
      <c r="N127" s="20">
        <v>800</v>
      </c>
      <c r="O127" s="21">
        <v>15</v>
      </c>
      <c r="P127" s="19">
        <f t="shared" si="10"/>
        <v>399840</v>
      </c>
      <c r="Q127" s="16" t="str">
        <f>ROUND(AA127*Lookups!$O$3,0)&amp;" - "&amp;ROUND(AB127*Lookups!$O$3,0)&amp;" km/h"</f>
        <v>29 - 45 km/h</v>
      </c>
      <c r="R127" s="22">
        <f>IF(ISNUMBER(SEARCH("meters",W127)),ROUND(VALUE(SUBSTITUTE(LEFT(W127,FIND(" ",W127)-1),",",""))/Lookups!$O$4,0),ROUND(VALUE(LEFT(W127,FIND(" ",W127)-1))*Lookups!$O$3,0))</f>
        <v>40</v>
      </c>
      <c r="S127" s="16" t="s">
        <v>108</v>
      </c>
      <c r="T127" s="16" t="s">
        <v>109</v>
      </c>
      <c r="U127" s="16" t="s">
        <v>99</v>
      </c>
      <c r="V127" s="16" t="s">
        <v>100</v>
      </c>
      <c r="W127" s="16" t="s">
        <v>101</v>
      </c>
      <c r="X127" s="16" t="s">
        <v>118</v>
      </c>
      <c r="Y127" s="16" t="s">
        <v>111</v>
      </c>
      <c r="Z127" s="16" t="s">
        <v>119</v>
      </c>
      <c r="AA127" s="16">
        <f>IF(U127="",INDEX(Lookups!$J$3:$J$5,MATCH(E127,Lookups!$I$3:$I$5,0)),VALUE(LEFT(U127,FIND(" ",U127)-1)))</f>
        <v>18</v>
      </c>
      <c r="AB127" s="16">
        <f t="shared" si="11"/>
        <v>28</v>
      </c>
    </row>
    <row r="128" spans="1:28" x14ac:dyDescent="0.3">
      <c r="A128" s="16">
        <v>127</v>
      </c>
      <c r="B128" s="16" t="str">
        <f t="shared" si="9"/>
        <v>Fischer, Jonas</v>
      </c>
      <c r="C128" s="16" t="s">
        <v>31</v>
      </c>
      <c r="D128" s="16" t="str">
        <f>"Q"&amp;ROUNDUP(MATCH(C128,Lookups!$L$3:$L$14,0)/3,0)</f>
        <v>Q4</v>
      </c>
      <c r="E128" s="16" t="s">
        <v>41</v>
      </c>
      <c r="F128" s="16" t="s">
        <v>120</v>
      </c>
      <c r="G128" s="16" t="s">
        <v>121</v>
      </c>
      <c r="H128" s="17" t="s">
        <v>122</v>
      </c>
      <c r="I128" s="16" t="str">
        <f>INDEX(Lookups!$B$3:$B$6,MATCH(Y128,Lookups!$A$3:$A$6,0))</f>
        <v>Germany</v>
      </c>
      <c r="J128" s="16" t="str">
        <f>INDEX(Lookups!$C$3:$C$6,MATCH(Y128,Lookups!$A$3:$A$6,0))</f>
        <v>Europe</v>
      </c>
      <c r="K128" s="16" t="str">
        <f>INDEX(Lookups!$D$3:$D$6,MATCH(Y128,Lookups!$A$3:$A$6,0))</f>
        <v>EUR</v>
      </c>
      <c r="L128" s="25">
        <v>1000</v>
      </c>
      <c r="M128" s="19">
        <f>ROUND(L128*INDEX(Lookups!$G$3:$G$5,MATCH(K128,Lookups!$F$3:$F$5,0)),0)</f>
        <v>1080</v>
      </c>
      <c r="N128" s="20">
        <v>160</v>
      </c>
      <c r="O128" s="21">
        <v>15</v>
      </c>
      <c r="P128" s="19">
        <f t="shared" si="10"/>
        <v>146880</v>
      </c>
      <c r="Q128" s="16" t="str">
        <f>ROUND(AA128*Lookups!$O$3,0)&amp;" - "&amp;ROUND(AB128*Lookups!$O$3,0)&amp;" km/h"</f>
        <v>24 - 48 km/h</v>
      </c>
      <c r="R128" s="22">
        <f>IF(ISNUMBER(SEARCH("meters",W128)),ROUND(VALUE(SUBSTITUTE(LEFT(W128,FIND(" ",W128)-1),",",""))/Lookups!$O$4,0),ROUND(VALUE(LEFT(W128,FIND(" ",W128)-1))*Lookups!$O$3,0))</f>
        <v>48</v>
      </c>
      <c r="S128" s="16" t="s">
        <v>123</v>
      </c>
      <c r="T128" s="16" t="s">
        <v>124</v>
      </c>
      <c r="U128" s="16" t="s">
        <v>84</v>
      </c>
      <c r="V128" s="16" t="s">
        <v>85</v>
      </c>
      <c r="W128" s="16" t="s">
        <v>86</v>
      </c>
      <c r="X128" s="16" t="s">
        <v>126</v>
      </c>
      <c r="Y128" s="16" t="s">
        <v>127</v>
      </c>
      <c r="Z128" s="16" t="s">
        <v>128</v>
      </c>
      <c r="AA128" s="16">
        <f>IF(U128="",INDEX(Lookups!$J$3:$J$5,MATCH(E128,Lookups!$I$3:$I$5,0)),VALUE(LEFT(U128,FIND(" ",U128)-1)))</f>
        <v>15</v>
      </c>
      <c r="AB128" s="16">
        <f t="shared" si="11"/>
        <v>30</v>
      </c>
    </row>
    <row r="129" spans="1:28" x14ac:dyDescent="0.3">
      <c r="A129" s="16">
        <v>128</v>
      </c>
      <c r="B129" s="16" t="str">
        <f t="shared" si="9"/>
        <v>Fischer, Jonas</v>
      </c>
      <c r="C129" s="16" t="s">
        <v>31</v>
      </c>
      <c r="D129" s="16" t="str">
        <f>"Q"&amp;ROUNDUP(MATCH(C129,Lookups!$L$3:$L$14,0)/3,0)</f>
        <v>Q4</v>
      </c>
      <c r="E129" s="16" t="s">
        <v>42</v>
      </c>
      <c r="F129" s="16" t="s">
        <v>129</v>
      </c>
      <c r="G129" s="16" t="s">
        <v>121</v>
      </c>
      <c r="H129" s="17" t="s">
        <v>122</v>
      </c>
      <c r="I129" s="16" t="str">
        <f>INDEX(Lookups!$B$3:$B$6,MATCH(Y129,Lookups!$A$3:$A$6,0))</f>
        <v>Germany</v>
      </c>
      <c r="J129" s="16" t="str">
        <f>INDEX(Lookups!$C$3:$C$6,MATCH(Y129,Lookups!$A$3:$A$6,0))</f>
        <v>Europe</v>
      </c>
      <c r="K129" s="16" t="str">
        <f>INDEX(Lookups!$D$3:$D$6,MATCH(Y129,Lookups!$A$3:$A$6,0))</f>
        <v>EUR</v>
      </c>
      <c r="L129" s="25">
        <v>800</v>
      </c>
      <c r="M129" s="19">
        <f>ROUND(L129*INDEX(Lookups!$G$3:$G$5,MATCH(K129,Lookups!$F$3:$F$5,0)),0)</f>
        <v>864</v>
      </c>
      <c r="N129" s="20">
        <v>320</v>
      </c>
      <c r="O129" s="21">
        <v>15</v>
      </c>
      <c r="P129" s="19">
        <f t="shared" si="10"/>
        <v>235008</v>
      </c>
      <c r="Q129" s="16" t="str">
        <f>ROUND(AA129*Lookups!$O$3,0)&amp;" - "&amp;ROUND(AB129*Lookups!$O$3,0)&amp;" km/h"</f>
        <v>32 - 56 km/h</v>
      </c>
      <c r="R129" s="22">
        <f>IF(ISNUMBER(SEARCH("meters",W129)),ROUND(VALUE(SUBSTITUTE(LEFT(W129,FIND(" ",W129)-1),",",""))/Lookups!$O$4,0),ROUND(VALUE(LEFT(W129,FIND(" ",W129)-1))*Lookups!$O$3,0))</f>
        <v>64</v>
      </c>
      <c r="S129" s="16" t="s">
        <v>123</v>
      </c>
      <c r="T129" s="16" t="s">
        <v>124</v>
      </c>
      <c r="U129" s="16" t="s">
        <v>92</v>
      </c>
      <c r="V129" s="16" t="s">
        <v>93</v>
      </c>
      <c r="W129" s="16" t="s">
        <v>94</v>
      </c>
      <c r="X129" s="16" t="s">
        <v>130</v>
      </c>
      <c r="Y129" s="16" t="s">
        <v>127</v>
      </c>
      <c r="Z129" s="16" t="s">
        <v>131</v>
      </c>
      <c r="AA129" s="16">
        <f>IF(U129="",INDEX(Lookups!$J$3:$J$5,MATCH(E129,Lookups!$I$3:$I$5,0)),VALUE(LEFT(U129,FIND(" ",U129)-1)))</f>
        <v>20</v>
      </c>
      <c r="AB129" s="16">
        <f t="shared" si="11"/>
        <v>35</v>
      </c>
    </row>
    <row r="130" spans="1:28" x14ac:dyDescent="0.3">
      <c r="A130" s="16">
        <v>129</v>
      </c>
      <c r="B130" s="16" t="str">
        <f t="shared" ref="B130:B145" si="12">T130&amp;", "&amp;S130</f>
        <v>Fischer, Jonas</v>
      </c>
      <c r="C130" s="16" t="s">
        <v>31</v>
      </c>
      <c r="D130" s="16" t="str">
        <f>"Q"&amp;ROUNDUP(MATCH(C130,Lookups!$L$3:$L$14,0)/3,0)</f>
        <v>Q4</v>
      </c>
      <c r="E130" s="16" t="s">
        <v>43</v>
      </c>
      <c r="F130" s="16" t="s">
        <v>132</v>
      </c>
      <c r="G130" s="16" t="s">
        <v>121</v>
      </c>
      <c r="H130" s="17" t="s">
        <v>122</v>
      </c>
      <c r="I130" s="16" t="str">
        <f>INDEX(Lookups!$B$3:$B$6,MATCH(Y130,Lookups!$A$3:$A$6,0))</f>
        <v>Germany</v>
      </c>
      <c r="J130" s="16" t="str">
        <f>INDEX(Lookups!$C$3:$C$6,MATCH(Y130,Lookups!$A$3:$A$6,0))</f>
        <v>Europe</v>
      </c>
      <c r="K130" s="16" t="str">
        <f>INDEX(Lookups!$D$3:$D$6,MATCH(Y130,Lookups!$A$3:$A$6,0))</f>
        <v>EUR</v>
      </c>
      <c r="L130" s="25">
        <v>950</v>
      </c>
      <c r="M130" s="19">
        <f>ROUND(L130*INDEX(Lookups!$G$3:$G$5,MATCH(K130,Lookups!$F$3:$F$5,0)),0)</f>
        <v>1026</v>
      </c>
      <c r="N130" s="20">
        <v>250</v>
      </c>
      <c r="O130" s="21">
        <v>15</v>
      </c>
      <c r="P130" s="19">
        <f t="shared" ref="P130:P145" si="13">ROUND(N130*M130*(1-O130/100),0)</f>
        <v>218025</v>
      </c>
      <c r="Q130" s="16" t="str">
        <f>ROUND(AA130*Lookups!$O$3,0)&amp;" - "&amp;ROUND(AB130*Lookups!$O$3,0)&amp;" km/h"</f>
        <v>29 - 45 km/h</v>
      </c>
      <c r="R130" s="22">
        <f>IF(ISNUMBER(SEARCH("meters",W130)),ROUND(VALUE(SUBSTITUTE(LEFT(W130,FIND(" ",W130)-1),",",""))/Lookups!$O$4,0),ROUND(VALUE(LEFT(W130,FIND(" ",W130)-1))*Lookups!$O$3,0))</f>
        <v>40</v>
      </c>
      <c r="S130" s="16" t="s">
        <v>123</v>
      </c>
      <c r="T130" s="16" t="s">
        <v>124</v>
      </c>
      <c r="U130" s="16" t="s">
        <v>99</v>
      </c>
      <c r="V130" s="16" t="s">
        <v>100</v>
      </c>
      <c r="W130" s="16" t="s">
        <v>101</v>
      </c>
      <c r="X130" s="16" t="s">
        <v>133</v>
      </c>
      <c r="Y130" s="16" t="s">
        <v>127</v>
      </c>
      <c r="Z130" s="16" t="s">
        <v>134</v>
      </c>
      <c r="AA130" s="16">
        <f>IF(U130="",INDEX(Lookups!$J$3:$J$5,MATCH(E130,Lookups!$I$3:$I$5,0)),VALUE(LEFT(U130,FIND(" ",U130)-1)))</f>
        <v>18</v>
      </c>
      <c r="AB130" s="16">
        <f t="shared" ref="AB130:AB145" si="14">VALUE(LEFT(V130,FIND(" ",V130)-1))</f>
        <v>28</v>
      </c>
    </row>
    <row r="131" spans="1:28" x14ac:dyDescent="0.3">
      <c r="A131" s="16">
        <v>130</v>
      </c>
      <c r="B131" s="16" t="str">
        <f t="shared" si="12"/>
        <v>Bernard, Théo</v>
      </c>
      <c r="C131" s="16" t="s">
        <v>31</v>
      </c>
      <c r="D131" s="16" t="str">
        <f>"Q"&amp;ROUNDUP(MATCH(C131,Lookups!$L$3:$L$14,0)/3,0)</f>
        <v>Q4</v>
      </c>
      <c r="E131" s="16" t="s">
        <v>41</v>
      </c>
      <c r="F131" s="16" t="s">
        <v>135</v>
      </c>
      <c r="G131" s="16" t="s">
        <v>136</v>
      </c>
      <c r="H131" s="17" t="s">
        <v>137</v>
      </c>
      <c r="I131" s="16" t="str">
        <f>INDEX(Lookups!$B$3:$B$6,MATCH(Y131,Lookups!$A$3:$A$6,0))</f>
        <v>France</v>
      </c>
      <c r="J131" s="16" t="str">
        <f>INDEX(Lookups!$C$3:$C$6,MATCH(Y131,Lookups!$A$3:$A$6,0))</f>
        <v>Europe</v>
      </c>
      <c r="K131" s="16" t="str">
        <f>INDEX(Lookups!$D$3:$D$6,MATCH(Y131,Lookups!$A$3:$A$6,0))</f>
        <v>EUR</v>
      </c>
      <c r="L131" s="25">
        <v>1100</v>
      </c>
      <c r="M131" s="19">
        <f>ROUND(L131*INDEX(Lookups!$G$3:$G$5,MATCH(K131,Lookups!$F$3:$F$5,0)),0)</f>
        <v>1188</v>
      </c>
      <c r="N131" s="20">
        <v>140</v>
      </c>
      <c r="O131" s="21">
        <v>15</v>
      </c>
      <c r="P131" s="19">
        <f t="shared" si="13"/>
        <v>141372</v>
      </c>
      <c r="Q131" s="16" t="str">
        <f>ROUND(AA131*Lookups!$O$3,0)&amp;" - "&amp;ROUND(AB131*Lookups!$O$3,0)&amp;" km/h"</f>
        <v>24 - 48 km/h</v>
      </c>
      <c r="R131" s="22">
        <f>IF(ISNUMBER(SEARCH("meters",W131)),ROUND(VALUE(SUBSTITUTE(LEFT(W131,FIND(" ",W131)-1),",",""))/Lookups!$O$4,0),ROUND(VALUE(LEFT(W131,FIND(" ",W131)-1))*Lookups!$O$3,0))</f>
        <v>48</v>
      </c>
      <c r="S131" s="16" t="s">
        <v>138</v>
      </c>
      <c r="T131" s="16" t="s">
        <v>139</v>
      </c>
      <c r="U131" s="16" t="s">
        <v>84</v>
      </c>
      <c r="V131" s="16" t="s">
        <v>85</v>
      </c>
      <c r="W131" s="16" t="s">
        <v>86</v>
      </c>
      <c r="X131" s="16" t="s">
        <v>140</v>
      </c>
      <c r="Y131" s="16" t="s">
        <v>141</v>
      </c>
      <c r="Z131" s="16" t="s">
        <v>142</v>
      </c>
      <c r="AA131" s="16">
        <f>IF(U131="",INDEX(Lookups!$J$3:$J$5,MATCH(E131,Lookups!$I$3:$I$5,0)),VALUE(LEFT(U131,FIND(" ",U131)-1)))</f>
        <v>15</v>
      </c>
      <c r="AB131" s="16">
        <f t="shared" si="14"/>
        <v>30</v>
      </c>
    </row>
    <row r="132" spans="1:28" x14ac:dyDescent="0.3">
      <c r="A132" s="16">
        <v>131</v>
      </c>
      <c r="B132" s="16" t="str">
        <f t="shared" si="12"/>
        <v>Bernard, Théo</v>
      </c>
      <c r="C132" s="16" t="s">
        <v>31</v>
      </c>
      <c r="D132" s="16" t="str">
        <f>"Q"&amp;ROUNDUP(MATCH(C132,Lookups!$L$3:$L$14,0)/3,0)</f>
        <v>Q4</v>
      </c>
      <c r="E132" s="16" t="s">
        <v>42</v>
      </c>
      <c r="F132" s="16" t="s">
        <v>143</v>
      </c>
      <c r="G132" s="16" t="s">
        <v>136</v>
      </c>
      <c r="H132" s="17" t="s">
        <v>137</v>
      </c>
      <c r="I132" s="16" t="str">
        <f>INDEX(Lookups!$B$3:$B$6,MATCH(Y132,Lookups!$A$3:$A$6,0))</f>
        <v>France</v>
      </c>
      <c r="J132" s="16" t="str">
        <f>INDEX(Lookups!$C$3:$C$6,MATCH(Y132,Lookups!$A$3:$A$6,0))</f>
        <v>Europe</v>
      </c>
      <c r="K132" s="16" t="str">
        <f>INDEX(Lookups!$D$3:$D$6,MATCH(Y132,Lookups!$A$3:$A$6,0))</f>
        <v>EUR</v>
      </c>
      <c r="L132" s="25">
        <v>900</v>
      </c>
      <c r="M132" s="19">
        <f>ROUND(L132*INDEX(Lookups!$G$3:$G$5,MATCH(K132,Lookups!$F$3:$F$5,0)),0)</f>
        <v>972</v>
      </c>
      <c r="N132" s="20">
        <v>310</v>
      </c>
      <c r="O132" s="21">
        <v>15</v>
      </c>
      <c r="P132" s="19">
        <f t="shared" si="13"/>
        <v>256122</v>
      </c>
      <c r="Q132" s="16" t="str">
        <f>ROUND(AA132*Lookups!$O$3,0)&amp;" - "&amp;ROUND(AB132*Lookups!$O$3,0)&amp;" km/h"</f>
        <v>32 - 56 km/h</v>
      </c>
      <c r="R132" s="22">
        <f>IF(ISNUMBER(SEARCH("meters",W132)),ROUND(VALUE(SUBSTITUTE(LEFT(W132,FIND(" ",W132)-1),",",""))/Lookups!$O$4,0),ROUND(VALUE(LEFT(W132,FIND(" ",W132)-1))*Lookups!$O$3,0))</f>
        <v>64</v>
      </c>
      <c r="S132" s="16" t="s">
        <v>138</v>
      </c>
      <c r="T132" s="16" t="s">
        <v>139</v>
      </c>
      <c r="U132" s="16" t="s">
        <v>92</v>
      </c>
      <c r="V132" s="16" t="s">
        <v>93</v>
      </c>
      <c r="W132" s="16" t="s">
        <v>94</v>
      </c>
      <c r="X132" s="16" t="s">
        <v>145</v>
      </c>
      <c r="Y132" s="16" t="s">
        <v>141</v>
      </c>
      <c r="Z132" s="16" t="s">
        <v>146</v>
      </c>
      <c r="AA132" s="16">
        <f>IF(U132="",INDEX(Lookups!$J$3:$J$5,MATCH(E132,Lookups!$I$3:$I$5,0)),VALUE(LEFT(U132,FIND(" ",U132)-1)))</f>
        <v>20</v>
      </c>
      <c r="AB132" s="16">
        <f t="shared" si="14"/>
        <v>35</v>
      </c>
    </row>
    <row r="133" spans="1:28" x14ac:dyDescent="0.3">
      <c r="A133" s="16">
        <v>132</v>
      </c>
      <c r="B133" s="16" t="str">
        <f t="shared" si="12"/>
        <v>Bernard, Théo</v>
      </c>
      <c r="C133" s="16" t="s">
        <v>31</v>
      </c>
      <c r="D133" s="16" t="str">
        <f>"Q"&amp;ROUNDUP(MATCH(C133,Lookups!$L$3:$L$14,0)/3,0)</f>
        <v>Q4</v>
      </c>
      <c r="E133" s="16" t="s">
        <v>43</v>
      </c>
      <c r="F133" s="16" t="s">
        <v>147</v>
      </c>
      <c r="G133" s="16" t="s">
        <v>136</v>
      </c>
      <c r="H133" s="17" t="s">
        <v>137</v>
      </c>
      <c r="I133" s="16" t="str">
        <f>INDEX(Lookups!$B$3:$B$6,MATCH(Y133,Lookups!$A$3:$A$6,0))</f>
        <v>France</v>
      </c>
      <c r="J133" s="16" t="str">
        <f>INDEX(Lookups!$C$3:$C$6,MATCH(Y133,Lookups!$A$3:$A$6,0))</f>
        <v>Europe</v>
      </c>
      <c r="K133" s="16" t="str">
        <f>INDEX(Lookups!$D$3:$D$6,MATCH(Y133,Lookups!$A$3:$A$6,0))</f>
        <v>EUR</v>
      </c>
      <c r="L133" s="25">
        <v>1050</v>
      </c>
      <c r="M133" s="19">
        <f>ROUND(L133*INDEX(Lookups!$G$3:$G$5,MATCH(K133,Lookups!$F$3:$F$5,0)),0)</f>
        <v>1134</v>
      </c>
      <c r="N133" s="20">
        <v>290</v>
      </c>
      <c r="O133" s="21">
        <v>15</v>
      </c>
      <c r="P133" s="19">
        <f t="shared" si="13"/>
        <v>279531</v>
      </c>
      <c r="Q133" s="16" t="str">
        <f>ROUND(AA133*Lookups!$O$3,0)&amp;" - "&amp;ROUND(AB133*Lookups!$O$3,0)&amp;" km/h"</f>
        <v>29 - 45 km/h</v>
      </c>
      <c r="R133" s="22">
        <f>IF(ISNUMBER(SEARCH("meters",W133)),ROUND(VALUE(SUBSTITUTE(LEFT(W133,FIND(" ",W133)-1),",",""))/Lookups!$O$4,0),ROUND(VALUE(LEFT(W133,FIND(" ",W133)-1))*Lookups!$O$3,0))</f>
        <v>40</v>
      </c>
      <c r="S133" s="16" t="s">
        <v>138</v>
      </c>
      <c r="T133" s="16" t="s">
        <v>139</v>
      </c>
      <c r="U133" s="16" t="s">
        <v>99</v>
      </c>
      <c r="V133" s="16" t="s">
        <v>100</v>
      </c>
      <c r="W133" s="16" t="s">
        <v>101</v>
      </c>
      <c r="X133" s="16" t="s">
        <v>148</v>
      </c>
      <c r="Y133" s="16" t="s">
        <v>141</v>
      </c>
      <c r="Z133" s="16" t="s">
        <v>149</v>
      </c>
      <c r="AA133" s="16">
        <f>IF(U133="",INDEX(Lookups!$J$3:$J$5,MATCH(E133,Lookups!$I$3:$I$5,0)),VALUE(LEFT(U133,FIND(" ",U133)-1)))</f>
        <v>18</v>
      </c>
      <c r="AB133" s="16">
        <f t="shared" si="14"/>
        <v>28</v>
      </c>
    </row>
    <row r="134" spans="1:28" x14ac:dyDescent="0.3">
      <c r="A134" s="16">
        <v>133</v>
      </c>
      <c r="B134" s="16" t="str">
        <f t="shared" si="12"/>
        <v>Joshi, Sanya</v>
      </c>
      <c r="C134" s="16" t="s">
        <v>32</v>
      </c>
      <c r="D134" s="16" t="str">
        <f>"Q"&amp;ROUNDUP(MATCH(C134,Lookups!$L$3:$L$14,0)/3,0)</f>
        <v>Q4</v>
      </c>
      <c r="E134" s="16" t="s">
        <v>41</v>
      </c>
      <c r="F134" s="16" t="s">
        <v>79</v>
      </c>
      <c r="G134" s="16" t="s">
        <v>80</v>
      </c>
      <c r="H134" s="17" t="s">
        <v>81</v>
      </c>
      <c r="I134" s="16" t="str">
        <f>INDEX(Lookups!$B$3:$B$6,MATCH(Y134,Lookups!$A$3:$A$6,0))</f>
        <v>India</v>
      </c>
      <c r="J134" s="16" t="str">
        <f>INDEX(Lookups!$C$3:$C$6,MATCH(Y134,Lookups!$A$3:$A$6,0))</f>
        <v>Asia</v>
      </c>
      <c r="K134" s="16" t="str">
        <f>INDEX(Lookups!$D$3:$D$6,MATCH(Y134,Lookups!$A$3:$A$6,0))</f>
        <v>INR</v>
      </c>
      <c r="L134" s="18">
        <v>30000</v>
      </c>
      <c r="M134" s="19">
        <f>ROUND(L134*INDEX(Lookups!$G$3:$G$5,MATCH(K134,Lookups!$F$3:$F$5,0)),0)</f>
        <v>360</v>
      </c>
      <c r="N134" s="20">
        <v>250</v>
      </c>
      <c r="O134" s="21">
        <v>20</v>
      </c>
      <c r="P134" s="19">
        <f t="shared" si="13"/>
        <v>72000</v>
      </c>
      <c r="Q134" s="16" t="str">
        <f>ROUND(AA134*Lookups!$O$3,0)&amp;" - "&amp;ROUND(AB134*Lookups!$O$3,0)&amp;" km/h"</f>
        <v>24 - 48 km/h</v>
      </c>
      <c r="R134" s="22">
        <f>IF(ISNUMBER(SEARCH("meters",W134)),ROUND(VALUE(SUBSTITUTE(LEFT(W134,FIND(" ",W134)-1),",",""))/Lookups!$O$4,0),ROUND(VALUE(LEFT(W134,FIND(" ",W134)-1))*Lookups!$O$3,0))</f>
        <v>48</v>
      </c>
      <c r="S134" s="16" t="s">
        <v>82</v>
      </c>
      <c r="T134" s="16" t="s">
        <v>83</v>
      </c>
      <c r="U134" s="16" t="s">
        <v>84</v>
      </c>
      <c r="V134" s="16" t="s">
        <v>85</v>
      </c>
      <c r="W134" s="16" t="s">
        <v>86</v>
      </c>
      <c r="X134" s="16" t="s">
        <v>87</v>
      </c>
      <c r="Y134" s="16" t="s">
        <v>88</v>
      </c>
      <c r="Z134" s="16" t="s">
        <v>89</v>
      </c>
      <c r="AA134" s="16">
        <f>IF(U134="",INDEX(Lookups!$J$3:$J$5,MATCH(E134,Lookups!$I$3:$I$5,0)),VALUE(LEFT(U134,FIND(" ",U134)-1)))</f>
        <v>15</v>
      </c>
      <c r="AB134" s="16">
        <f t="shared" si="14"/>
        <v>30</v>
      </c>
    </row>
    <row r="135" spans="1:28" x14ac:dyDescent="0.3">
      <c r="A135" s="16">
        <v>134</v>
      </c>
      <c r="B135" s="16" t="str">
        <f t="shared" si="12"/>
        <v>Joshi, Sanya</v>
      </c>
      <c r="C135" s="16" t="s">
        <v>32</v>
      </c>
      <c r="D135" s="16" t="str">
        <f>"Q"&amp;ROUNDUP(MATCH(C135,Lookups!$L$3:$L$14,0)/3,0)</f>
        <v>Q4</v>
      </c>
      <c r="E135" s="16" t="s">
        <v>42</v>
      </c>
      <c r="F135" s="16" t="s">
        <v>91</v>
      </c>
      <c r="G135" s="16" t="s">
        <v>80</v>
      </c>
      <c r="H135" s="17" t="s">
        <v>81</v>
      </c>
      <c r="I135" s="16" t="str">
        <f>INDEX(Lookups!$B$3:$B$6,MATCH(Y135,Lookups!$A$3:$A$6,0))</f>
        <v>India</v>
      </c>
      <c r="J135" s="16" t="str">
        <f>INDEX(Lookups!$C$3:$C$6,MATCH(Y135,Lookups!$A$3:$A$6,0))</f>
        <v>Asia</v>
      </c>
      <c r="K135" s="16" t="str">
        <f>INDEX(Lookups!$D$3:$D$6,MATCH(Y135,Lookups!$A$3:$A$6,0))</f>
        <v>INR</v>
      </c>
      <c r="L135" s="18">
        <v>25000</v>
      </c>
      <c r="M135" s="19">
        <f>ROUND(L135*INDEX(Lookups!$G$3:$G$5,MATCH(K135,Lookups!$F$3:$F$5,0)),0)</f>
        <v>300</v>
      </c>
      <c r="N135" s="20">
        <v>600</v>
      </c>
      <c r="O135" s="21">
        <v>20</v>
      </c>
      <c r="P135" s="19">
        <f t="shared" si="13"/>
        <v>144000</v>
      </c>
      <c r="Q135" s="16" t="str">
        <f>ROUND(AA135*Lookups!$O$3,0)&amp;" - "&amp;ROUND(AB135*Lookups!$O$3,0)&amp;" km/h"</f>
        <v>32 - 56 km/h</v>
      </c>
      <c r="R135" s="22">
        <f>IF(ISNUMBER(SEARCH("meters",W135)),ROUND(VALUE(SUBSTITUTE(LEFT(W135,FIND(" ",W135)-1),",",""))/Lookups!$O$4,0),ROUND(VALUE(LEFT(W135,FIND(" ",W135)-1))*Lookups!$O$3,0))</f>
        <v>64</v>
      </c>
      <c r="S135" s="16" t="s">
        <v>82</v>
      </c>
      <c r="T135" s="16" t="s">
        <v>83</v>
      </c>
      <c r="U135" s="16" t="s">
        <v>92</v>
      </c>
      <c r="V135" s="16" t="s">
        <v>93</v>
      </c>
      <c r="W135" s="16" t="s">
        <v>94</v>
      </c>
      <c r="X135" s="16" t="s">
        <v>95</v>
      </c>
      <c r="Y135" s="16" t="s">
        <v>88</v>
      </c>
      <c r="Z135" s="16" t="s">
        <v>96</v>
      </c>
      <c r="AA135" s="16">
        <f>IF(U135="",INDEX(Lookups!$J$3:$J$5,MATCH(E135,Lookups!$I$3:$I$5,0)),VALUE(LEFT(U135,FIND(" ",U135)-1)))</f>
        <v>20</v>
      </c>
      <c r="AB135" s="16">
        <f t="shared" si="14"/>
        <v>35</v>
      </c>
    </row>
    <row r="136" spans="1:28" x14ac:dyDescent="0.3">
      <c r="A136" s="16">
        <v>135</v>
      </c>
      <c r="B136" s="16" t="str">
        <f t="shared" si="12"/>
        <v>Joshi, Sanya</v>
      </c>
      <c r="C136" s="16" t="s">
        <v>32</v>
      </c>
      <c r="D136" s="16" t="str">
        <f>"Q"&amp;ROUNDUP(MATCH(C136,Lookups!$L$3:$L$14,0)/3,0)</f>
        <v>Q4</v>
      </c>
      <c r="E136" s="16" t="s">
        <v>43</v>
      </c>
      <c r="F136" s="16" t="s">
        <v>98</v>
      </c>
      <c r="G136" s="16" t="s">
        <v>80</v>
      </c>
      <c r="H136" s="17" t="s">
        <v>81</v>
      </c>
      <c r="I136" s="16" t="str">
        <f>INDEX(Lookups!$B$3:$B$6,MATCH(Y136,Lookups!$A$3:$A$6,0))</f>
        <v>India</v>
      </c>
      <c r="J136" s="16" t="str">
        <f>INDEX(Lookups!$C$3:$C$6,MATCH(Y136,Lookups!$A$3:$A$6,0))</f>
        <v>Asia</v>
      </c>
      <c r="K136" s="16" t="str">
        <f>INDEX(Lookups!$D$3:$D$6,MATCH(Y136,Lookups!$A$3:$A$6,0))</f>
        <v>INR</v>
      </c>
      <c r="L136" s="18">
        <v>22000</v>
      </c>
      <c r="M136" s="19">
        <f>ROUND(L136*INDEX(Lookups!$G$3:$G$5,MATCH(K136,Lookups!$F$3:$F$5,0)),0)</f>
        <v>264</v>
      </c>
      <c r="N136" s="20">
        <v>400</v>
      </c>
      <c r="O136" s="21">
        <v>20</v>
      </c>
      <c r="P136" s="19">
        <f t="shared" si="13"/>
        <v>84480</v>
      </c>
      <c r="Q136" s="16" t="str">
        <f>ROUND(AA136*Lookups!$O$3,0)&amp;" - "&amp;ROUND(AB136*Lookups!$O$3,0)&amp;" km/h"</f>
        <v>29 - 45 km/h</v>
      </c>
      <c r="R136" s="22">
        <f>IF(ISNUMBER(SEARCH("meters",W136)),ROUND(VALUE(SUBSTITUTE(LEFT(W136,FIND(" ",W136)-1),",",""))/Lookups!$O$4,0),ROUND(VALUE(LEFT(W136,FIND(" ",W136)-1))*Lookups!$O$3,0))</f>
        <v>40</v>
      </c>
      <c r="S136" s="16" t="s">
        <v>82</v>
      </c>
      <c r="T136" s="16" t="s">
        <v>83</v>
      </c>
      <c r="U136" s="16" t="s">
        <v>99</v>
      </c>
      <c r="V136" s="16" t="s">
        <v>100</v>
      </c>
      <c r="W136" s="16" t="s">
        <v>117</v>
      </c>
      <c r="X136" s="16" t="s">
        <v>102</v>
      </c>
      <c r="Y136" s="16" t="s">
        <v>88</v>
      </c>
      <c r="Z136" s="16" t="s">
        <v>103</v>
      </c>
      <c r="AA136" s="16">
        <f>IF(U136="",INDEX(Lookups!$J$3:$J$5,MATCH(E136,Lookups!$I$3:$I$5,0)),VALUE(LEFT(U136,FIND(" ",U136)-1)))</f>
        <v>18</v>
      </c>
      <c r="AB136" s="16">
        <f t="shared" si="14"/>
        <v>28</v>
      </c>
    </row>
    <row r="137" spans="1:28" x14ac:dyDescent="0.3">
      <c r="A137" s="16">
        <v>136</v>
      </c>
      <c r="B137" s="16" t="str">
        <f t="shared" si="12"/>
        <v>Liu, Fang</v>
      </c>
      <c r="C137" s="16" t="s">
        <v>32</v>
      </c>
      <c r="D137" s="16" t="str">
        <f>"Q"&amp;ROUNDUP(MATCH(C137,Lookups!$L$3:$L$14,0)/3,0)</f>
        <v>Q4</v>
      </c>
      <c r="E137" s="16" t="s">
        <v>41</v>
      </c>
      <c r="F137" s="16" t="s">
        <v>105</v>
      </c>
      <c r="G137" s="16" t="s">
        <v>106</v>
      </c>
      <c r="H137" s="17" t="s">
        <v>107</v>
      </c>
      <c r="I137" s="16" t="str">
        <f>INDEX(Lookups!$B$3:$B$6,MATCH(Y137,Lookups!$A$3:$A$6,0))</f>
        <v>China</v>
      </c>
      <c r="J137" s="16" t="str">
        <f>INDEX(Lookups!$C$3:$C$6,MATCH(Y137,Lookups!$A$3:$A$6,0))</f>
        <v>Asia</v>
      </c>
      <c r="K137" s="16" t="str">
        <f>INDEX(Lookups!$D$3:$D$6,MATCH(Y137,Lookups!$A$3:$A$6,0))</f>
        <v>CNY</v>
      </c>
      <c r="L137" s="24">
        <v>5000</v>
      </c>
      <c r="M137" s="19">
        <f>ROUND(L137*INDEX(Lookups!$G$3:$G$5,MATCH(K137,Lookups!$F$3:$F$5,0)),0)</f>
        <v>700</v>
      </c>
      <c r="N137" s="20">
        <v>800</v>
      </c>
      <c r="O137" s="21">
        <v>20</v>
      </c>
      <c r="P137" s="19">
        <f t="shared" si="13"/>
        <v>448000</v>
      </c>
      <c r="Q137" s="16" t="str">
        <f>ROUND(AA137*Lookups!$O$3,0)&amp;" - "&amp;ROUND(AB137*Lookups!$O$3,0)&amp;" km/h"</f>
        <v>24 - 48 km/h</v>
      </c>
      <c r="R137" s="22">
        <f>IF(ISNUMBER(SEARCH("meters",W137)),ROUND(VALUE(SUBSTITUTE(LEFT(W137,FIND(" ",W137)-1),",",""))/Lookups!$O$4,0),ROUND(VALUE(LEFT(W137,FIND(" ",W137)-1))*Lookups!$O$3,0))</f>
        <v>48</v>
      </c>
      <c r="S137" s="16" t="s">
        <v>108</v>
      </c>
      <c r="T137" s="16" t="s">
        <v>109</v>
      </c>
      <c r="U137" s="16" t="s">
        <v>84</v>
      </c>
      <c r="V137" s="16" t="s">
        <v>85</v>
      </c>
      <c r="W137" s="16" t="s">
        <v>86</v>
      </c>
      <c r="X137" s="16" t="s">
        <v>110</v>
      </c>
      <c r="Y137" s="16" t="s">
        <v>111</v>
      </c>
      <c r="Z137" s="16" t="s">
        <v>112</v>
      </c>
      <c r="AA137" s="16">
        <f>IF(U137="",INDEX(Lookups!$J$3:$J$5,MATCH(E137,Lookups!$I$3:$I$5,0)),VALUE(LEFT(U137,FIND(" ",U137)-1)))</f>
        <v>15</v>
      </c>
      <c r="AB137" s="16">
        <f t="shared" si="14"/>
        <v>30</v>
      </c>
    </row>
    <row r="138" spans="1:28" x14ac:dyDescent="0.3">
      <c r="A138" s="16">
        <v>137</v>
      </c>
      <c r="B138" s="16" t="str">
        <f t="shared" si="12"/>
        <v>Liu, Fang</v>
      </c>
      <c r="C138" s="16" t="s">
        <v>32</v>
      </c>
      <c r="D138" s="16" t="str">
        <f>"Q"&amp;ROUNDUP(MATCH(C138,Lookups!$L$3:$L$14,0)/3,0)</f>
        <v>Q4</v>
      </c>
      <c r="E138" s="16" t="s">
        <v>42</v>
      </c>
      <c r="F138" s="16" t="s">
        <v>113</v>
      </c>
      <c r="G138" s="16" t="s">
        <v>106</v>
      </c>
      <c r="H138" s="17" t="s">
        <v>107</v>
      </c>
      <c r="I138" s="16" t="str">
        <f>INDEX(Lookups!$B$3:$B$6,MATCH(Y138,Lookups!$A$3:$A$6,0))</f>
        <v>China</v>
      </c>
      <c r="J138" s="16" t="str">
        <f>INDEX(Lookups!$C$3:$C$6,MATCH(Y138,Lookups!$A$3:$A$6,0))</f>
        <v>Asia</v>
      </c>
      <c r="K138" s="16" t="str">
        <f>INDEX(Lookups!$D$3:$D$6,MATCH(Y138,Lookups!$A$3:$A$6,0))</f>
        <v>CNY</v>
      </c>
      <c r="L138" s="24">
        <v>3500</v>
      </c>
      <c r="M138" s="19">
        <f>ROUND(L138*INDEX(Lookups!$G$3:$G$5,MATCH(K138,Lookups!$F$3:$F$5,0)),0)</f>
        <v>490</v>
      </c>
      <c r="N138" s="20">
        <v>2000</v>
      </c>
      <c r="O138" s="21">
        <v>20</v>
      </c>
      <c r="P138" s="19">
        <f t="shared" si="13"/>
        <v>784000</v>
      </c>
      <c r="Q138" s="16" t="str">
        <f>ROUND(AA138*Lookups!$O$3,0)&amp;" - "&amp;ROUND(AB138*Lookups!$O$3,0)&amp;" km/h"</f>
        <v>32 - 56 km/h</v>
      </c>
      <c r="R138" s="22">
        <f>IF(ISNUMBER(SEARCH("meters",W138)),ROUND(VALUE(SUBSTITUTE(LEFT(W138,FIND(" ",W138)-1),",",""))/Lookups!$O$4,0),ROUND(VALUE(LEFT(W138,FIND(" ",W138)-1))*Lookups!$O$3,0))</f>
        <v>64</v>
      </c>
      <c r="S138" s="16" t="s">
        <v>108</v>
      </c>
      <c r="T138" s="16" t="s">
        <v>109</v>
      </c>
      <c r="U138" s="16"/>
      <c r="V138" s="16" t="s">
        <v>93</v>
      </c>
      <c r="W138" s="16" t="s">
        <v>144</v>
      </c>
      <c r="X138" s="16" t="s">
        <v>114</v>
      </c>
      <c r="Y138" s="16" t="s">
        <v>111</v>
      </c>
      <c r="Z138" s="16" t="s">
        <v>115</v>
      </c>
      <c r="AA138" s="16">
        <f>IF(U138="",INDEX(Lookups!$J$3:$J$5,MATCH(E138,Lookups!$I$3:$I$5,0)),VALUE(LEFT(U138,FIND(" ",U138)-1)))</f>
        <v>20</v>
      </c>
      <c r="AB138" s="16">
        <f t="shared" si="14"/>
        <v>35</v>
      </c>
    </row>
    <row r="139" spans="1:28" x14ac:dyDescent="0.3">
      <c r="A139" s="16">
        <v>138</v>
      </c>
      <c r="B139" s="16" t="str">
        <f t="shared" si="12"/>
        <v>Liu, Fang</v>
      </c>
      <c r="C139" s="16" t="s">
        <v>32</v>
      </c>
      <c r="D139" s="16" t="str">
        <f>"Q"&amp;ROUNDUP(MATCH(C139,Lookups!$L$3:$L$14,0)/3,0)</f>
        <v>Q4</v>
      </c>
      <c r="E139" s="16" t="s">
        <v>43</v>
      </c>
      <c r="F139" s="16" t="s">
        <v>116</v>
      </c>
      <c r="G139" s="16" t="s">
        <v>106</v>
      </c>
      <c r="H139" s="17" t="s">
        <v>107</v>
      </c>
      <c r="I139" s="16" t="str">
        <f>INDEX(Lookups!$B$3:$B$6,MATCH(Y139,Lookups!$A$3:$A$6,0))</f>
        <v>China</v>
      </c>
      <c r="J139" s="16" t="str">
        <f>INDEX(Lookups!$C$3:$C$6,MATCH(Y139,Lookups!$A$3:$A$6,0))</f>
        <v>Asia</v>
      </c>
      <c r="K139" s="16" t="str">
        <f>INDEX(Lookups!$D$3:$D$6,MATCH(Y139,Lookups!$A$3:$A$6,0))</f>
        <v>CNY</v>
      </c>
      <c r="L139" s="24">
        <v>4200</v>
      </c>
      <c r="M139" s="19">
        <f>ROUND(L139*INDEX(Lookups!$G$3:$G$5,MATCH(K139,Lookups!$F$3:$F$5,0)),0)</f>
        <v>588</v>
      </c>
      <c r="N139" s="20">
        <v>1200</v>
      </c>
      <c r="O139" s="21">
        <v>20</v>
      </c>
      <c r="P139" s="19">
        <f t="shared" si="13"/>
        <v>564480</v>
      </c>
      <c r="Q139" s="16" t="str">
        <f>ROUND(AA139*Lookups!$O$3,0)&amp;" - "&amp;ROUND(AB139*Lookups!$O$3,0)&amp;" km/h"</f>
        <v>29 - 45 km/h</v>
      </c>
      <c r="R139" s="22">
        <f>IF(ISNUMBER(SEARCH("meters",W139)),ROUND(VALUE(SUBSTITUTE(LEFT(W139,FIND(" ",W139)-1),",",""))/Lookups!$O$4,0),ROUND(VALUE(LEFT(W139,FIND(" ",W139)-1))*Lookups!$O$3,0))</f>
        <v>40</v>
      </c>
      <c r="S139" s="16" t="s">
        <v>108</v>
      </c>
      <c r="T139" s="16" t="s">
        <v>109</v>
      </c>
      <c r="U139" s="16" t="s">
        <v>99</v>
      </c>
      <c r="V139" s="16" t="s">
        <v>100</v>
      </c>
      <c r="W139" s="16" t="s">
        <v>101</v>
      </c>
      <c r="X139" s="16" t="s">
        <v>118</v>
      </c>
      <c r="Y139" s="16" t="s">
        <v>111</v>
      </c>
      <c r="Z139" s="16" t="s">
        <v>119</v>
      </c>
      <c r="AA139" s="16">
        <f>IF(U139="",INDEX(Lookups!$J$3:$J$5,MATCH(E139,Lookups!$I$3:$I$5,0)),VALUE(LEFT(U139,FIND(" ",U139)-1)))</f>
        <v>18</v>
      </c>
      <c r="AB139" s="16">
        <f t="shared" si="14"/>
        <v>28</v>
      </c>
    </row>
    <row r="140" spans="1:28" x14ac:dyDescent="0.3">
      <c r="A140" s="16">
        <v>139</v>
      </c>
      <c r="B140" s="16" t="str">
        <f t="shared" si="12"/>
        <v>Fischer, Jonas</v>
      </c>
      <c r="C140" s="16" t="s">
        <v>32</v>
      </c>
      <c r="D140" s="16" t="str">
        <f>"Q"&amp;ROUNDUP(MATCH(C140,Lookups!$L$3:$L$14,0)/3,0)</f>
        <v>Q4</v>
      </c>
      <c r="E140" s="16" t="s">
        <v>41</v>
      </c>
      <c r="F140" s="16" t="s">
        <v>120</v>
      </c>
      <c r="G140" s="16" t="s">
        <v>121</v>
      </c>
      <c r="H140" s="17" t="s">
        <v>122</v>
      </c>
      <c r="I140" s="16" t="str">
        <f>INDEX(Lookups!$B$3:$B$6,MATCH(Y140,Lookups!$A$3:$A$6,0))</f>
        <v>Germany</v>
      </c>
      <c r="J140" s="16" t="str">
        <f>INDEX(Lookups!$C$3:$C$6,MATCH(Y140,Lookups!$A$3:$A$6,0))</f>
        <v>Europe</v>
      </c>
      <c r="K140" s="16" t="str">
        <f>INDEX(Lookups!$D$3:$D$6,MATCH(Y140,Lookups!$A$3:$A$6,0))</f>
        <v>EUR</v>
      </c>
      <c r="L140" s="25">
        <v>1000</v>
      </c>
      <c r="M140" s="19">
        <f>ROUND(L140*INDEX(Lookups!$G$3:$G$5,MATCH(K140,Lookups!$F$3:$F$5,0)),0)</f>
        <v>1080</v>
      </c>
      <c r="N140" s="20">
        <v>200</v>
      </c>
      <c r="O140" s="21">
        <v>20</v>
      </c>
      <c r="P140" s="19">
        <f t="shared" si="13"/>
        <v>172800</v>
      </c>
      <c r="Q140" s="16" t="str">
        <f>ROUND(AA140*Lookups!$O$3,0)&amp;" - "&amp;ROUND(AB140*Lookups!$O$3,0)&amp;" km/h"</f>
        <v>24 - 48 km/h</v>
      </c>
      <c r="R140" s="22">
        <f>IF(ISNUMBER(SEARCH("meters",W140)),ROUND(VALUE(SUBSTITUTE(LEFT(W140,FIND(" ",W140)-1),",",""))/Lookups!$O$4,0),ROUND(VALUE(LEFT(W140,FIND(" ",W140)-1))*Lookups!$O$3,0))</f>
        <v>48</v>
      </c>
      <c r="S140" s="16" t="s">
        <v>123</v>
      </c>
      <c r="T140" s="16" t="s">
        <v>124</v>
      </c>
      <c r="U140" s="16" t="s">
        <v>84</v>
      </c>
      <c r="V140" s="16" t="s">
        <v>85</v>
      </c>
      <c r="W140" s="16" t="s">
        <v>125</v>
      </c>
      <c r="X140" s="16" t="s">
        <v>126</v>
      </c>
      <c r="Y140" s="16" t="s">
        <v>127</v>
      </c>
      <c r="Z140" s="16" t="s">
        <v>128</v>
      </c>
      <c r="AA140" s="16">
        <f>IF(U140="",INDEX(Lookups!$J$3:$J$5,MATCH(E140,Lookups!$I$3:$I$5,0)),VALUE(LEFT(U140,FIND(" ",U140)-1)))</f>
        <v>15</v>
      </c>
      <c r="AB140" s="16">
        <f t="shared" si="14"/>
        <v>30</v>
      </c>
    </row>
    <row r="141" spans="1:28" x14ac:dyDescent="0.3">
      <c r="A141" s="16">
        <v>140</v>
      </c>
      <c r="B141" s="16" t="str">
        <f t="shared" si="12"/>
        <v>Fischer, Jonas</v>
      </c>
      <c r="C141" s="16" t="s">
        <v>32</v>
      </c>
      <c r="D141" s="16" t="str">
        <f>"Q"&amp;ROUNDUP(MATCH(C141,Lookups!$L$3:$L$14,0)/3,0)</f>
        <v>Q4</v>
      </c>
      <c r="E141" s="16" t="s">
        <v>42</v>
      </c>
      <c r="F141" s="16" t="s">
        <v>129</v>
      </c>
      <c r="G141" s="16" t="s">
        <v>121</v>
      </c>
      <c r="H141" s="17" t="s">
        <v>122</v>
      </c>
      <c r="I141" s="16" t="str">
        <f>INDEX(Lookups!$B$3:$B$6,MATCH(Y141,Lookups!$A$3:$A$6,0))</f>
        <v>Germany</v>
      </c>
      <c r="J141" s="16" t="str">
        <f>INDEX(Lookups!$C$3:$C$6,MATCH(Y141,Lookups!$A$3:$A$6,0))</f>
        <v>Europe</v>
      </c>
      <c r="K141" s="16" t="str">
        <f>INDEX(Lookups!$D$3:$D$6,MATCH(Y141,Lookups!$A$3:$A$6,0))</f>
        <v>EUR</v>
      </c>
      <c r="L141" s="25">
        <v>800</v>
      </c>
      <c r="M141" s="19">
        <f>ROUND(L141*INDEX(Lookups!$G$3:$G$5,MATCH(K141,Lookups!$F$3:$F$5,0)),0)</f>
        <v>864</v>
      </c>
      <c r="N141" s="20">
        <v>400</v>
      </c>
      <c r="O141" s="21">
        <v>20</v>
      </c>
      <c r="P141" s="19">
        <f t="shared" si="13"/>
        <v>276480</v>
      </c>
      <c r="Q141" s="16" t="str">
        <f>ROUND(AA141*Lookups!$O$3,0)&amp;" - "&amp;ROUND(AB141*Lookups!$O$3,0)&amp;" km/h"</f>
        <v>32 - 56 km/h</v>
      </c>
      <c r="R141" s="22">
        <f>IF(ISNUMBER(SEARCH("meters",W141)),ROUND(VALUE(SUBSTITUTE(LEFT(W141,FIND(" ",W141)-1),",",""))/Lookups!$O$4,0),ROUND(VALUE(LEFT(W141,FIND(" ",W141)-1))*Lookups!$O$3,0))</f>
        <v>64</v>
      </c>
      <c r="S141" s="16" t="s">
        <v>123</v>
      </c>
      <c r="T141" s="16" t="s">
        <v>124</v>
      </c>
      <c r="U141" s="16" t="s">
        <v>92</v>
      </c>
      <c r="V141" s="16" t="s">
        <v>93</v>
      </c>
      <c r="W141" s="16" t="s">
        <v>144</v>
      </c>
      <c r="X141" s="16" t="s">
        <v>130</v>
      </c>
      <c r="Y141" s="16" t="s">
        <v>127</v>
      </c>
      <c r="Z141" s="16" t="s">
        <v>131</v>
      </c>
      <c r="AA141" s="16">
        <f>IF(U141="",INDEX(Lookups!$J$3:$J$5,MATCH(E141,Lookups!$I$3:$I$5,0)),VALUE(LEFT(U141,FIND(" ",U141)-1)))</f>
        <v>20</v>
      </c>
      <c r="AB141" s="16">
        <f t="shared" si="14"/>
        <v>35</v>
      </c>
    </row>
    <row r="142" spans="1:28" x14ac:dyDescent="0.3">
      <c r="A142" s="16">
        <v>141</v>
      </c>
      <c r="B142" s="16" t="str">
        <f t="shared" si="12"/>
        <v>Fischer, Jonas</v>
      </c>
      <c r="C142" s="16" t="s">
        <v>32</v>
      </c>
      <c r="D142" s="16" t="str">
        <f>"Q"&amp;ROUNDUP(MATCH(C142,Lookups!$L$3:$L$14,0)/3,0)</f>
        <v>Q4</v>
      </c>
      <c r="E142" s="16" t="s">
        <v>43</v>
      </c>
      <c r="F142" s="16" t="s">
        <v>132</v>
      </c>
      <c r="G142" s="16" t="s">
        <v>121</v>
      </c>
      <c r="H142" s="17" t="s">
        <v>122</v>
      </c>
      <c r="I142" s="16" t="str">
        <f>INDEX(Lookups!$B$3:$B$6,MATCH(Y142,Lookups!$A$3:$A$6,0))</f>
        <v>Germany</v>
      </c>
      <c r="J142" s="16" t="str">
        <f>INDEX(Lookups!$C$3:$C$6,MATCH(Y142,Lookups!$A$3:$A$6,0))</f>
        <v>Europe</v>
      </c>
      <c r="K142" s="16" t="str">
        <f>INDEX(Lookups!$D$3:$D$6,MATCH(Y142,Lookups!$A$3:$A$6,0))</f>
        <v>EUR</v>
      </c>
      <c r="L142" s="25">
        <v>950</v>
      </c>
      <c r="M142" s="19">
        <f>ROUND(L142*INDEX(Lookups!$G$3:$G$5,MATCH(K142,Lookups!$F$3:$F$5,0)),0)</f>
        <v>1026</v>
      </c>
      <c r="N142" s="20">
        <v>350</v>
      </c>
      <c r="O142" s="21">
        <v>20</v>
      </c>
      <c r="P142" s="19">
        <f t="shared" si="13"/>
        <v>287280</v>
      </c>
      <c r="Q142" s="16" t="str">
        <f>ROUND(AA142*Lookups!$O$3,0)&amp;" - "&amp;ROUND(AB142*Lookups!$O$3,0)&amp;" km/h"</f>
        <v>29 - 45 km/h</v>
      </c>
      <c r="R142" s="22">
        <f>IF(ISNUMBER(SEARCH("meters",W142)),ROUND(VALUE(SUBSTITUTE(LEFT(W142,FIND(" ",W142)-1),",",""))/Lookups!$O$4,0),ROUND(VALUE(LEFT(W142,FIND(" ",W142)-1))*Lookups!$O$3,0))</f>
        <v>40</v>
      </c>
      <c r="S142" s="16" t="s">
        <v>123</v>
      </c>
      <c r="T142" s="16" t="s">
        <v>124</v>
      </c>
      <c r="U142" s="16"/>
      <c r="V142" s="16" t="s">
        <v>100</v>
      </c>
      <c r="W142" s="16" t="s">
        <v>101</v>
      </c>
      <c r="X142" s="16" t="s">
        <v>133</v>
      </c>
      <c r="Y142" s="16" t="s">
        <v>127</v>
      </c>
      <c r="Z142" s="16" t="s">
        <v>134</v>
      </c>
      <c r="AA142" s="16">
        <f>IF(U142="",INDEX(Lookups!$J$3:$J$5,MATCH(E142,Lookups!$I$3:$I$5,0)),VALUE(LEFT(U142,FIND(" ",U142)-1)))</f>
        <v>18</v>
      </c>
      <c r="AB142" s="16">
        <f t="shared" si="14"/>
        <v>28</v>
      </c>
    </row>
    <row r="143" spans="1:28" x14ac:dyDescent="0.3">
      <c r="A143" s="16">
        <v>142</v>
      </c>
      <c r="B143" s="16" t="str">
        <f t="shared" si="12"/>
        <v>Bernard, Théo</v>
      </c>
      <c r="C143" s="16" t="s">
        <v>32</v>
      </c>
      <c r="D143" s="16" t="str">
        <f>"Q"&amp;ROUNDUP(MATCH(C143,Lookups!$L$3:$L$14,0)/3,0)</f>
        <v>Q4</v>
      </c>
      <c r="E143" s="16" t="s">
        <v>41</v>
      </c>
      <c r="F143" s="16" t="s">
        <v>135</v>
      </c>
      <c r="G143" s="16" t="s">
        <v>136</v>
      </c>
      <c r="H143" s="17" t="s">
        <v>137</v>
      </c>
      <c r="I143" s="16" t="str">
        <f>INDEX(Lookups!$B$3:$B$6,MATCH(Y143,Lookups!$A$3:$A$6,0))</f>
        <v>France</v>
      </c>
      <c r="J143" s="16" t="str">
        <f>INDEX(Lookups!$C$3:$C$6,MATCH(Y143,Lookups!$A$3:$A$6,0))</f>
        <v>Europe</v>
      </c>
      <c r="K143" s="16" t="str">
        <f>INDEX(Lookups!$D$3:$D$6,MATCH(Y143,Lookups!$A$3:$A$6,0))</f>
        <v>EUR</v>
      </c>
      <c r="L143" s="25">
        <v>1100</v>
      </c>
      <c r="M143" s="19">
        <f>ROUND(L143*INDEX(Lookups!$G$3:$G$5,MATCH(K143,Lookups!$F$3:$F$5,0)),0)</f>
        <v>1188</v>
      </c>
      <c r="N143" s="20">
        <v>180</v>
      </c>
      <c r="O143" s="21">
        <v>20</v>
      </c>
      <c r="P143" s="19">
        <f t="shared" si="13"/>
        <v>171072</v>
      </c>
      <c r="Q143" s="16" t="str">
        <f>ROUND(AA143*Lookups!$O$3,0)&amp;" - "&amp;ROUND(AB143*Lookups!$O$3,0)&amp;" km/h"</f>
        <v>24 - 48 km/h</v>
      </c>
      <c r="R143" s="22">
        <f>IF(ISNUMBER(SEARCH("meters",W143)),ROUND(VALUE(SUBSTITUTE(LEFT(W143,FIND(" ",W143)-1),",",""))/Lookups!$O$4,0),ROUND(VALUE(LEFT(W143,FIND(" ",W143)-1))*Lookups!$O$3,0))</f>
        <v>48</v>
      </c>
      <c r="S143" s="16" t="s">
        <v>138</v>
      </c>
      <c r="T143" s="16" t="s">
        <v>139</v>
      </c>
      <c r="U143" s="16" t="s">
        <v>84</v>
      </c>
      <c r="V143" s="16" t="s">
        <v>85</v>
      </c>
      <c r="W143" s="16" t="s">
        <v>86</v>
      </c>
      <c r="X143" s="16" t="s">
        <v>140</v>
      </c>
      <c r="Y143" s="16" t="s">
        <v>141</v>
      </c>
      <c r="Z143" s="16" t="s">
        <v>142</v>
      </c>
      <c r="AA143" s="16">
        <f>IF(U143="",INDEX(Lookups!$J$3:$J$5,MATCH(E143,Lookups!$I$3:$I$5,0)),VALUE(LEFT(U143,FIND(" ",U143)-1)))</f>
        <v>15</v>
      </c>
      <c r="AB143" s="16">
        <f t="shared" si="14"/>
        <v>30</v>
      </c>
    </row>
    <row r="144" spans="1:28" x14ac:dyDescent="0.3">
      <c r="A144" s="16">
        <v>143</v>
      </c>
      <c r="B144" s="16" t="str">
        <f t="shared" si="12"/>
        <v>Bernard, Théo</v>
      </c>
      <c r="C144" s="16" t="s">
        <v>32</v>
      </c>
      <c r="D144" s="16" t="str">
        <f>"Q"&amp;ROUNDUP(MATCH(C144,Lookups!$L$3:$L$14,0)/3,0)</f>
        <v>Q4</v>
      </c>
      <c r="E144" s="16" t="s">
        <v>42</v>
      </c>
      <c r="F144" s="16" t="s">
        <v>143</v>
      </c>
      <c r="G144" s="16" t="s">
        <v>136</v>
      </c>
      <c r="H144" s="17" t="s">
        <v>137</v>
      </c>
      <c r="I144" s="16" t="str">
        <f>INDEX(Lookups!$B$3:$B$6,MATCH(Y144,Lookups!$A$3:$A$6,0))</f>
        <v>France</v>
      </c>
      <c r="J144" s="16" t="str">
        <f>INDEX(Lookups!$C$3:$C$6,MATCH(Y144,Lookups!$A$3:$A$6,0))</f>
        <v>Europe</v>
      </c>
      <c r="K144" s="16" t="str">
        <f>INDEX(Lookups!$D$3:$D$6,MATCH(Y144,Lookups!$A$3:$A$6,0))</f>
        <v>EUR</v>
      </c>
      <c r="L144" s="25">
        <v>900</v>
      </c>
      <c r="M144" s="19">
        <f>ROUND(L144*INDEX(Lookups!$G$3:$G$5,MATCH(K144,Lookups!$F$3:$F$5,0)),0)</f>
        <v>972</v>
      </c>
      <c r="N144" s="20">
        <v>400</v>
      </c>
      <c r="O144" s="21">
        <v>20</v>
      </c>
      <c r="P144" s="19">
        <f t="shared" si="13"/>
        <v>311040</v>
      </c>
      <c r="Q144" s="16" t="str">
        <f>ROUND(AA144*Lookups!$O$3,0)&amp;" - "&amp;ROUND(AB144*Lookups!$O$3,0)&amp;" km/h"</f>
        <v>32 - 56 km/h</v>
      </c>
      <c r="R144" s="22">
        <f>IF(ISNUMBER(SEARCH("meters",W144)),ROUND(VALUE(SUBSTITUTE(LEFT(W144,FIND(" ",W144)-1),",",""))/Lookups!$O$4,0),ROUND(VALUE(LEFT(W144,FIND(" ",W144)-1))*Lookups!$O$3,0))</f>
        <v>64</v>
      </c>
      <c r="S144" s="16" t="s">
        <v>138</v>
      </c>
      <c r="T144" s="16" t="s">
        <v>139</v>
      </c>
      <c r="U144" s="16" t="s">
        <v>92</v>
      </c>
      <c r="V144" s="16" t="s">
        <v>93</v>
      </c>
      <c r="W144" s="16" t="s">
        <v>94</v>
      </c>
      <c r="X144" s="16" t="s">
        <v>145</v>
      </c>
      <c r="Y144" s="16" t="s">
        <v>141</v>
      </c>
      <c r="Z144" s="16" t="s">
        <v>146</v>
      </c>
      <c r="AA144" s="16">
        <f>IF(U144="",INDEX(Lookups!$J$3:$J$5,MATCH(E144,Lookups!$I$3:$I$5,0)),VALUE(LEFT(U144,FIND(" ",U144)-1)))</f>
        <v>20</v>
      </c>
      <c r="AB144" s="16">
        <f t="shared" si="14"/>
        <v>35</v>
      </c>
    </row>
    <row r="145" spans="1:28" x14ac:dyDescent="0.3">
      <c r="A145" s="16">
        <v>144</v>
      </c>
      <c r="B145" s="16" t="str">
        <f t="shared" si="12"/>
        <v>Bernard, Théo</v>
      </c>
      <c r="C145" s="16" t="s">
        <v>32</v>
      </c>
      <c r="D145" s="16" t="str">
        <f>"Q"&amp;ROUNDUP(MATCH(C145,Lookups!$L$3:$L$14,0)/3,0)</f>
        <v>Q4</v>
      </c>
      <c r="E145" s="16" t="s">
        <v>43</v>
      </c>
      <c r="F145" s="16" t="s">
        <v>147</v>
      </c>
      <c r="G145" s="16" t="s">
        <v>136</v>
      </c>
      <c r="H145" s="17" t="s">
        <v>137</v>
      </c>
      <c r="I145" s="16" t="str">
        <f>INDEX(Lookups!$B$3:$B$6,MATCH(Y145,Lookups!$A$3:$A$6,0))</f>
        <v>France</v>
      </c>
      <c r="J145" s="16" t="str">
        <f>INDEX(Lookups!$C$3:$C$6,MATCH(Y145,Lookups!$A$3:$A$6,0))</f>
        <v>Europe</v>
      </c>
      <c r="K145" s="16" t="str">
        <f>INDEX(Lookups!$D$3:$D$6,MATCH(Y145,Lookups!$A$3:$A$6,0))</f>
        <v>EUR</v>
      </c>
      <c r="L145" s="25">
        <v>1050</v>
      </c>
      <c r="M145" s="19">
        <f>ROUND(L145*INDEX(Lookups!$G$3:$G$5,MATCH(K145,Lookups!$F$3:$F$5,0)),0)</f>
        <v>1134</v>
      </c>
      <c r="N145" s="20">
        <v>360</v>
      </c>
      <c r="O145" s="21">
        <v>20</v>
      </c>
      <c r="P145" s="19">
        <f t="shared" si="13"/>
        <v>326592</v>
      </c>
      <c r="Q145" s="16" t="str">
        <f>ROUND(AA145*Lookups!$O$3,0)&amp;" - "&amp;ROUND(AB145*Lookups!$O$3,0)&amp;" km/h"</f>
        <v>29 - 45 km/h</v>
      </c>
      <c r="R145" s="22">
        <f>IF(ISNUMBER(SEARCH("meters",W145)),ROUND(VALUE(SUBSTITUTE(LEFT(W145,FIND(" ",W145)-1),",",""))/Lookups!$O$4,0),ROUND(VALUE(LEFT(W145,FIND(" ",W145)-1))*Lookups!$O$3,0))</f>
        <v>40</v>
      </c>
      <c r="S145" s="16" t="s">
        <v>138</v>
      </c>
      <c r="T145" s="16" t="s">
        <v>139</v>
      </c>
      <c r="U145" s="16" t="s">
        <v>99</v>
      </c>
      <c r="V145" s="16" t="s">
        <v>100</v>
      </c>
      <c r="W145" s="16" t="s">
        <v>101</v>
      </c>
      <c r="X145" s="16" t="s">
        <v>148</v>
      </c>
      <c r="Y145" s="16" t="s">
        <v>141</v>
      </c>
      <c r="Z145" s="16" t="s">
        <v>149</v>
      </c>
      <c r="AA145" s="16">
        <f>IF(U145="",INDEX(Lookups!$J$3:$J$5,MATCH(E145,Lookups!$I$3:$I$5,0)),VALUE(LEFT(U145,FIND(" ",U145)-1)))</f>
        <v>18</v>
      </c>
      <c r="AB145" s="16">
        <f t="shared" si="14"/>
        <v>28</v>
      </c>
    </row>
  </sheetData>
  <autoFilter ref="A1:R145" xr:uid="{00000000-0009-0000-0000-000001000000}"/>
  <conditionalFormatting sqref="N2:N145">
    <cfRule type="colorScale" priority="5">
      <colorScale>
        <cfvo type="min"/>
        <cfvo type="max"/>
        <color rgb="FFFFFFFF"/>
        <color rgb="FFA9D08E"/>
      </colorScale>
    </cfRule>
  </conditionalFormatting>
  <conditionalFormatting sqref="O2:O145">
    <cfRule type="expression" dxfId="3" priority="4">
      <formula>$O2&gt;=15</formula>
    </cfRule>
  </conditionalFormatting>
  <conditionalFormatting sqref="P2:P145">
    <cfRule type="dataBar" priority="3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{45F24050-3649-484C-8E81-2AF592D82CA8}</x14:id>
        </ext>
      </extLst>
    </cfRule>
  </conditionalFormatting>
  <conditionalFormatting sqref="Q2:Q145">
    <cfRule type="expression" dxfId="2" priority="2">
      <formula>$U2=""</formula>
    </cfRule>
  </conditionalFormatting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F24050-3649-484C-8E81-2AF592D82CA8}">
            <x14:dataBar axisPosition="none">
              <x14:cfvo type="min"/>
              <x14:cfvo type="max"/>
              <x14:negativeFillColor rgb="FF5B9BD5"/>
            </x14:dataBar>
          </x14:cfRule>
          <xm:sqref>P2:P145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62"/>
  <sheetViews>
    <sheetView zoomScaleNormal="100" workbookViewId="0"/>
  </sheetViews>
  <sheetFormatPr defaultColWidth="8.5546875" defaultRowHeight="14.4" x14ac:dyDescent="0.3"/>
  <cols>
    <col min="1" max="1" width="23.44140625" style="26" customWidth="1"/>
    <col min="2" max="2" width="24.5546875" style="26" customWidth="1"/>
    <col min="3" max="3" width="26" customWidth="1"/>
    <col min="4" max="4" width="18.6640625" customWidth="1"/>
    <col min="5" max="5" width="26.5546875" style="26" customWidth="1"/>
    <col min="6" max="6" width="24.77734375" customWidth="1"/>
    <col min="7" max="7" width="20" customWidth="1"/>
    <col min="8" max="8" width="23.5546875" style="26" customWidth="1"/>
    <col min="9" max="9" width="46.5546875" customWidth="1"/>
    <col min="10" max="10" width="27" style="26" customWidth="1"/>
    <col min="11" max="11" width="24.77734375" customWidth="1"/>
    <col min="12" max="12" width="23.21875" style="26" customWidth="1"/>
    <col min="13" max="13" width="28" customWidth="1"/>
  </cols>
  <sheetData>
    <row r="1" spans="1:13" ht="37.5" customHeight="1" x14ac:dyDescent="0.3">
      <c r="A1" s="27" t="s">
        <v>58</v>
      </c>
      <c r="B1" s="28" t="s">
        <v>68</v>
      </c>
      <c r="C1" s="28" t="s">
        <v>69</v>
      </c>
      <c r="D1" s="28" t="s">
        <v>18</v>
      </c>
      <c r="E1" s="28" t="s">
        <v>40</v>
      </c>
      <c r="F1" s="28" t="s">
        <v>150</v>
      </c>
      <c r="G1" s="28" t="s">
        <v>151</v>
      </c>
      <c r="H1" s="28" t="s">
        <v>152</v>
      </c>
      <c r="I1" s="28" t="s">
        <v>153</v>
      </c>
      <c r="J1" s="28" t="s">
        <v>154</v>
      </c>
      <c r="K1" s="28" t="s">
        <v>155</v>
      </c>
      <c r="L1" s="28" t="s">
        <v>5</v>
      </c>
      <c r="M1" s="29" t="s">
        <v>54</v>
      </c>
    </row>
    <row r="2" spans="1:13" x14ac:dyDescent="0.3">
      <c r="A2" s="30">
        <v>1</v>
      </c>
      <c r="B2" s="31" t="s">
        <v>82</v>
      </c>
      <c r="C2" s="32" t="s">
        <v>83</v>
      </c>
      <c r="D2" s="32" t="s">
        <v>21</v>
      </c>
      <c r="E2" s="31" t="s">
        <v>41</v>
      </c>
      <c r="F2" s="32" t="s">
        <v>84</v>
      </c>
      <c r="G2" s="32" t="s">
        <v>85</v>
      </c>
      <c r="H2" s="31" t="s">
        <v>86</v>
      </c>
      <c r="I2" s="32" t="s">
        <v>87</v>
      </c>
      <c r="J2" s="31" t="s">
        <v>88</v>
      </c>
      <c r="K2" s="32" t="s">
        <v>89</v>
      </c>
      <c r="L2" s="31">
        <v>150</v>
      </c>
      <c r="M2" s="33">
        <v>10</v>
      </c>
    </row>
    <row r="3" spans="1:13" x14ac:dyDescent="0.3">
      <c r="A3" s="30">
        <v>2</v>
      </c>
      <c r="B3" s="31" t="s">
        <v>82</v>
      </c>
      <c r="C3" s="32" t="s">
        <v>83</v>
      </c>
      <c r="D3" s="32" t="s">
        <v>21</v>
      </c>
      <c r="E3" s="31" t="s">
        <v>42</v>
      </c>
      <c r="F3" s="32" t="s">
        <v>92</v>
      </c>
      <c r="G3" s="32" t="s">
        <v>93</v>
      </c>
      <c r="H3" s="31" t="s">
        <v>94</v>
      </c>
      <c r="I3" s="32" t="s">
        <v>95</v>
      </c>
      <c r="J3" s="31" t="s">
        <v>88</v>
      </c>
      <c r="K3" s="32" t="s">
        <v>96</v>
      </c>
      <c r="L3" s="31">
        <v>300</v>
      </c>
      <c r="M3" s="33">
        <v>10</v>
      </c>
    </row>
    <row r="4" spans="1:13" x14ac:dyDescent="0.3">
      <c r="A4" s="30">
        <v>2</v>
      </c>
      <c r="B4" s="31" t="s">
        <v>82</v>
      </c>
      <c r="C4" s="32" t="s">
        <v>83</v>
      </c>
      <c r="D4" s="32" t="s">
        <v>21</v>
      </c>
      <c r="E4" s="31" t="s">
        <v>42</v>
      </c>
      <c r="F4" s="32" t="s">
        <v>92</v>
      </c>
      <c r="G4" s="32" t="s">
        <v>93</v>
      </c>
      <c r="H4" s="31" t="s">
        <v>94</v>
      </c>
      <c r="I4" s="32" t="s">
        <v>95</v>
      </c>
      <c r="J4" s="31" t="s">
        <v>88</v>
      </c>
      <c r="K4" s="32" t="s">
        <v>96</v>
      </c>
      <c r="L4" s="31">
        <v>300</v>
      </c>
      <c r="M4" s="33">
        <v>10</v>
      </c>
    </row>
    <row r="5" spans="1:13" x14ac:dyDescent="0.3">
      <c r="A5" s="30">
        <v>3</v>
      </c>
      <c r="B5" s="31" t="s">
        <v>82</v>
      </c>
      <c r="C5" s="32" t="s">
        <v>83</v>
      </c>
      <c r="D5" s="32" t="s">
        <v>21</v>
      </c>
      <c r="E5" s="31" t="s">
        <v>43</v>
      </c>
      <c r="F5" s="32" t="s">
        <v>99</v>
      </c>
      <c r="G5" s="32" t="s">
        <v>100</v>
      </c>
      <c r="H5" s="31" t="s">
        <v>101</v>
      </c>
      <c r="I5" s="32" t="s">
        <v>102</v>
      </c>
      <c r="J5" s="31" t="s">
        <v>88</v>
      </c>
      <c r="K5" s="32" t="s">
        <v>103</v>
      </c>
      <c r="L5" s="31">
        <v>200</v>
      </c>
      <c r="M5" s="33">
        <v>10</v>
      </c>
    </row>
    <row r="6" spans="1:13" x14ac:dyDescent="0.3">
      <c r="A6" s="30">
        <v>4</v>
      </c>
      <c r="B6" s="31" t="s">
        <v>108</v>
      </c>
      <c r="C6" s="32" t="s">
        <v>109</v>
      </c>
      <c r="D6" s="32" t="s">
        <v>21</v>
      </c>
      <c r="E6" s="31" t="s">
        <v>41</v>
      </c>
      <c r="F6" s="32" t="s">
        <v>84</v>
      </c>
      <c r="G6" s="32" t="s">
        <v>85</v>
      </c>
      <c r="H6" s="31" t="s">
        <v>86</v>
      </c>
      <c r="I6" s="32" t="s">
        <v>110</v>
      </c>
      <c r="J6" s="31" t="s">
        <v>111</v>
      </c>
      <c r="K6" s="32" t="s">
        <v>112</v>
      </c>
      <c r="L6" s="31">
        <v>500</v>
      </c>
      <c r="M6" s="33">
        <v>10</v>
      </c>
    </row>
    <row r="7" spans="1:13" x14ac:dyDescent="0.3">
      <c r="A7" s="30">
        <v>5</v>
      </c>
      <c r="B7" s="31" t="s">
        <v>108</v>
      </c>
      <c r="C7" s="32" t="s">
        <v>109</v>
      </c>
      <c r="D7" s="32" t="s">
        <v>21</v>
      </c>
      <c r="E7" s="31" t="s">
        <v>42</v>
      </c>
      <c r="F7" s="32" t="s">
        <v>92</v>
      </c>
      <c r="G7" s="32" t="s">
        <v>93</v>
      </c>
      <c r="H7" s="31" t="s">
        <v>94</v>
      </c>
      <c r="I7" s="32" t="s">
        <v>114</v>
      </c>
      <c r="J7" s="31" t="s">
        <v>111</v>
      </c>
      <c r="K7" s="32" t="s">
        <v>115</v>
      </c>
      <c r="L7" s="31">
        <v>1000</v>
      </c>
      <c r="M7" s="33">
        <v>10</v>
      </c>
    </row>
    <row r="8" spans="1:13" x14ac:dyDescent="0.3">
      <c r="A8" s="30">
        <v>6</v>
      </c>
      <c r="B8" s="31" t="s">
        <v>108</v>
      </c>
      <c r="C8" s="32" t="s">
        <v>109</v>
      </c>
      <c r="D8" s="32" t="s">
        <v>21</v>
      </c>
      <c r="E8" s="31" t="s">
        <v>43</v>
      </c>
      <c r="F8" s="32"/>
      <c r="G8" s="32" t="s">
        <v>100</v>
      </c>
      <c r="H8" s="31" t="s">
        <v>117</v>
      </c>
      <c r="I8" s="32" t="s">
        <v>118</v>
      </c>
      <c r="J8" s="31" t="s">
        <v>111</v>
      </c>
      <c r="K8" s="32" t="s">
        <v>119</v>
      </c>
      <c r="L8" s="31">
        <v>800</v>
      </c>
      <c r="M8" s="33">
        <v>10</v>
      </c>
    </row>
    <row r="9" spans="1:13" x14ac:dyDescent="0.3">
      <c r="A9" s="30">
        <v>7</v>
      </c>
      <c r="B9" s="31" t="s">
        <v>123</v>
      </c>
      <c r="C9" s="32" t="s">
        <v>124</v>
      </c>
      <c r="D9" s="32" t="s">
        <v>21</v>
      </c>
      <c r="E9" s="31" t="s">
        <v>41</v>
      </c>
      <c r="F9" s="32" t="s">
        <v>84</v>
      </c>
      <c r="G9" s="32" t="s">
        <v>85</v>
      </c>
      <c r="H9" s="31" t="s">
        <v>125</v>
      </c>
      <c r="I9" s="32" t="s">
        <v>126</v>
      </c>
      <c r="J9" s="31" t="s">
        <v>127</v>
      </c>
      <c r="K9" s="32" t="s">
        <v>128</v>
      </c>
      <c r="L9" s="31">
        <v>120</v>
      </c>
      <c r="M9" s="33">
        <v>10</v>
      </c>
    </row>
    <row r="10" spans="1:13" x14ac:dyDescent="0.3">
      <c r="A10" s="30">
        <v>8</v>
      </c>
      <c r="B10" s="31" t="s">
        <v>123</v>
      </c>
      <c r="C10" s="32" t="s">
        <v>124</v>
      </c>
      <c r="D10" s="32" t="s">
        <v>21</v>
      </c>
      <c r="E10" s="31" t="s">
        <v>42</v>
      </c>
      <c r="F10" s="32" t="s">
        <v>92</v>
      </c>
      <c r="G10" s="32" t="s">
        <v>93</v>
      </c>
      <c r="H10" s="31" t="s">
        <v>94</v>
      </c>
      <c r="I10" s="32" t="s">
        <v>130</v>
      </c>
      <c r="J10" s="31" t="s">
        <v>127</v>
      </c>
      <c r="K10" s="32" t="s">
        <v>131</v>
      </c>
      <c r="L10" s="31">
        <v>200</v>
      </c>
      <c r="M10" s="33">
        <v>10</v>
      </c>
    </row>
    <row r="11" spans="1:13" x14ac:dyDescent="0.3">
      <c r="A11" s="30">
        <v>8</v>
      </c>
      <c r="B11" s="31" t="s">
        <v>123</v>
      </c>
      <c r="C11" s="32" t="s">
        <v>124</v>
      </c>
      <c r="D11" s="32" t="s">
        <v>21</v>
      </c>
      <c r="E11" s="31" t="s">
        <v>42</v>
      </c>
      <c r="F11" s="32" t="s">
        <v>92</v>
      </c>
      <c r="G11" s="32" t="s">
        <v>93</v>
      </c>
      <c r="H11" s="31" t="s">
        <v>94</v>
      </c>
      <c r="I11" s="32" t="s">
        <v>130</v>
      </c>
      <c r="J11" s="31" t="s">
        <v>127</v>
      </c>
      <c r="K11" s="32" t="s">
        <v>131</v>
      </c>
      <c r="L11" s="31">
        <v>200</v>
      </c>
      <c r="M11" s="33">
        <v>10</v>
      </c>
    </row>
    <row r="12" spans="1:13" x14ac:dyDescent="0.3">
      <c r="A12" s="30">
        <v>9</v>
      </c>
      <c r="B12" s="31" t="s">
        <v>123</v>
      </c>
      <c r="C12" s="32" t="s">
        <v>124</v>
      </c>
      <c r="D12" s="32" t="s">
        <v>21</v>
      </c>
      <c r="E12" s="31" t="s">
        <v>43</v>
      </c>
      <c r="F12" s="32" t="s">
        <v>99</v>
      </c>
      <c r="G12" s="32" t="s">
        <v>100</v>
      </c>
      <c r="H12" s="31" t="s">
        <v>101</v>
      </c>
      <c r="I12" s="32" t="s">
        <v>133</v>
      </c>
      <c r="J12" s="31" t="s">
        <v>127</v>
      </c>
      <c r="K12" s="32" t="s">
        <v>134</v>
      </c>
      <c r="L12" s="31">
        <v>150</v>
      </c>
      <c r="M12" s="33">
        <v>10</v>
      </c>
    </row>
    <row r="13" spans="1:13" x14ac:dyDescent="0.3">
      <c r="A13" s="30">
        <v>10</v>
      </c>
      <c r="B13" s="31" t="s">
        <v>138</v>
      </c>
      <c r="C13" s="32" t="s">
        <v>139</v>
      </c>
      <c r="D13" s="32" t="s">
        <v>21</v>
      </c>
      <c r="E13" s="31" t="s">
        <v>41</v>
      </c>
      <c r="F13" s="32" t="s">
        <v>84</v>
      </c>
      <c r="G13" s="32" t="s">
        <v>85</v>
      </c>
      <c r="H13" s="31" t="s">
        <v>86</v>
      </c>
      <c r="I13" s="32" t="s">
        <v>140</v>
      </c>
      <c r="J13" s="31" t="s">
        <v>141</v>
      </c>
      <c r="K13" s="32" t="s">
        <v>142</v>
      </c>
      <c r="L13" s="31">
        <v>100</v>
      </c>
      <c r="M13" s="33">
        <v>10</v>
      </c>
    </row>
    <row r="14" spans="1:13" x14ac:dyDescent="0.3">
      <c r="A14" s="30">
        <v>11</v>
      </c>
      <c r="B14" s="31" t="s">
        <v>138</v>
      </c>
      <c r="C14" s="32" t="s">
        <v>139</v>
      </c>
      <c r="D14" s="32" t="s">
        <v>21</v>
      </c>
      <c r="E14" s="31" t="s">
        <v>42</v>
      </c>
      <c r="F14" s="32" t="s">
        <v>92</v>
      </c>
      <c r="G14" s="32" t="s">
        <v>93</v>
      </c>
      <c r="H14" s="31" t="s">
        <v>144</v>
      </c>
      <c r="I14" s="32" t="s">
        <v>145</v>
      </c>
      <c r="J14" s="31" t="s">
        <v>141</v>
      </c>
      <c r="K14" s="32" t="s">
        <v>146</v>
      </c>
      <c r="L14" s="31">
        <v>250</v>
      </c>
      <c r="M14" s="33">
        <v>10</v>
      </c>
    </row>
    <row r="15" spans="1:13" x14ac:dyDescent="0.3">
      <c r="A15" s="30">
        <v>12</v>
      </c>
      <c r="B15" s="31" t="s">
        <v>138</v>
      </c>
      <c r="C15" s="32" t="s">
        <v>139</v>
      </c>
      <c r="D15" s="32" t="s">
        <v>21</v>
      </c>
      <c r="E15" s="31" t="s">
        <v>43</v>
      </c>
      <c r="F15" s="32" t="s">
        <v>99</v>
      </c>
      <c r="G15" s="32" t="s">
        <v>100</v>
      </c>
      <c r="H15" s="31" t="s">
        <v>101</v>
      </c>
      <c r="I15" s="32" t="s">
        <v>148</v>
      </c>
      <c r="J15" s="31" t="s">
        <v>141</v>
      </c>
      <c r="K15" s="32" t="s">
        <v>149</v>
      </c>
      <c r="L15" s="31">
        <v>180</v>
      </c>
      <c r="M15" s="33">
        <v>10</v>
      </c>
    </row>
    <row r="16" spans="1:13" x14ac:dyDescent="0.3">
      <c r="A16" s="30">
        <v>13</v>
      </c>
      <c r="B16" s="31" t="s">
        <v>82</v>
      </c>
      <c r="C16" s="32" t="s">
        <v>83</v>
      </c>
      <c r="D16" s="32" t="s">
        <v>22</v>
      </c>
      <c r="E16" s="31" t="s">
        <v>41</v>
      </c>
      <c r="F16" s="32" t="s">
        <v>84</v>
      </c>
      <c r="G16" s="32" t="s">
        <v>85</v>
      </c>
      <c r="H16" s="31" t="s">
        <v>86</v>
      </c>
      <c r="I16" s="32" t="s">
        <v>87</v>
      </c>
      <c r="J16" s="31" t="s">
        <v>88</v>
      </c>
      <c r="K16" s="32" t="s">
        <v>89</v>
      </c>
      <c r="L16" s="31">
        <v>160</v>
      </c>
      <c r="M16" s="33">
        <v>0</v>
      </c>
    </row>
    <row r="17" spans="1:13" x14ac:dyDescent="0.3">
      <c r="A17" s="30">
        <v>14</v>
      </c>
      <c r="B17" s="31" t="s">
        <v>82</v>
      </c>
      <c r="C17" s="32" t="s">
        <v>83</v>
      </c>
      <c r="D17" s="32" t="s">
        <v>22</v>
      </c>
      <c r="E17" s="31" t="s">
        <v>42</v>
      </c>
      <c r="F17" s="32"/>
      <c r="G17" s="32" t="s">
        <v>93</v>
      </c>
      <c r="H17" s="31" t="s">
        <v>94</v>
      </c>
      <c r="I17" s="32" t="s">
        <v>95</v>
      </c>
      <c r="J17" s="31" t="s">
        <v>88</v>
      </c>
      <c r="K17" s="32" t="s">
        <v>96</v>
      </c>
      <c r="L17" s="31">
        <v>350</v>
      </c>
      <c r="M17" s="33">
        <v>0</v>
      </c>
    </row>
    <row r="18" spans="1:13" x14ac:dyDescent="0.3">
      <c r="A18" s="30">
        <v>15</v>
      </c>
      <c r="B18" s="31" t="s">
        <v>82</v>
      </c>
      <c r="C18" s="32" t="s">
        <v>83</v>
      </c>
      <c r="D18" s="32" t="s">
        <v>22</v>
      </c>
      <c r="E18" s="31" t="s">
        <v>43</v>
      </c>
      <c r="F18" s="32" t="s">
        <v>99</v>
      </c>
      <c r="G18" s="32" t="s">
        <v>100</v>
      </c>
      <c r="H18" s="31" t="s">
        <v>101</v>
      </c>
      <c r="I18" s="32" t="s">
        <v>102</v>
      </c>
      <c r="J18" s="31" t="s">
        <v>88</v>
      </c>
      <c r="K18" s="32" t="s">
        <v>103</v>
      </c>
      <c r="L18" s="31">
        <v>220</v>
      </c>
      <c r="M18" s="33">
        <v>0</v>
      </c>
    </row>
    <row r="19" spans="1:13" x14ac:dyDescent="0.3">
      <c r="A19" s="30">
        <v>16</v>
      </c>
      <c r="B19" s="31" t="s">
        <v>108</v>
      </c>
      <c r="C19" s="32" t="s">
        <v>109</v>
      </c>
      <c r="D19" s="32" t="s">
        <v>22</v>
      </c>
      <c r="E19" s="31" t="s">
        <v>41</v>
      </c>
      <c r="F19" s="32" t="s">
        <v>84</v>
      </c>
      <c r="G19" s="32" t="s">
        <v>85</v>
      </c>
      <c r="H19" s="31" t="s">
        <v>125</v>
      </c>
      <c r="I19" s="32" t="s">
        <v>110</v>
      </c>
      <c r="J19" s="31" t="s">
        <v>111</v>
      </c>
      <c r="K19" s="32" t="s">
        <v>112</v>
      </c>
      <c r="L19" s="31">
        <v>550</v>
      </c>
      <c r="M19" s="33">
        <v>0</v>
      </c>
    </row>
    <row r="20" spans="1:13" x14ac:dyDescent="0.3">
      <c r="A20" s="30">
        <v>17</v>
      </c>
      <c r="B20" s="31" t="s">
        <v>108</v>
      </c>
      <c r="C20" s="32" t="s">
        <v>109</v>
      </c>
      <c r="D20" s="32" t="s">
        <v>22</v>
      </c>
      <c r="E20" s="31" t="s">
        <v>42</v>
      </c>
      <c r="F20" s="32" t="s">
        <v>92</v>
      </c>
      <c r="G20" s="32" t="s">
        <v>93</v>
      </c>
      <c r="H20" s="31" t="s">
        <v>94</v>
      </c>
      <c r="I20" s="32" t="s">
        <v>114</v>
      </c>
      <c r="J20" s="31" t="s">
        <v>111</v>
      </c>
      <c r="K20" s="32" t="s">
        <v>115</v>
      </c>
      <c r="L20" s="31">
        <v>1200</v>
      </c>
      <c r="M20" s="33">
        <v>0</v>
      </c>
    </row>
    <row r="21" spans="1:13" x14ac:dyDescent="0.3">
      <c r="A21" s="30">
        <v>17</v>
      </c>
      <c r="B21" s="31" t="s">
        <v>108</v>
      </c>
      <c r="C21" s="32" t="s">
        <v>109</v>
      </c>
      <c r="D21" s="32" t="s">
        <v>22</v>
      </c>
      <c r="E21" s="31" t="s">
        <v>42</v>
      </c>
      <c r="F21" s="32" t="s">
        <v>92</v>
      </c>
      <c r="G21" s="32" t="s">
        <v>93</v>
      </c>
      <c r="H21" s="31" t="s">
        <v>94</v>
      </c>
      <c r="I21" s="32" t="s">
        <v>114</v>
      </c>
      <c r="J21" s="31" t="s">
        <v>111</v>
      </c>
      <c r="K21" s="32" t="s">
        <v>115</v>
      </c>
      <c r="L21" s="31">
        <v>1200</v>
      </c>
      <c r="M21" s="33">
        <v>0</v>
      </c>
    </row>
    <row r="22" spans="1:13" x14ac:dyDescent="0.3">
      <c r="A22" s="30">
        <v>18</v>
      </c>
      <c r="B22" s="31" t="s">
        <v>108</v>
      </c>
      <c r="C22" s="32" t="s">
        <v>109</v>
      </c>
      <c r="D22" s="32" t="s">
        <v>22</v>
      </c>
      <c r="E22" s="31" t="s">
        <v>43</v>
      </c>
      <c r="F22" s="32" t="s">
        <v>99</v>
      </c>
      <c r="G22" s="32" t="s">
        <v>100</v>
      </c>
      <c r="H22" s="31" t="s">
        <v>101</v>
      </c>
      <c r="I22" s="32" t="s">
        <v>118</v>
      </c>
      <c r="J22" s="31" t="s">
        <v>111</v>
      </c>
      <c r="K22" s="32" t="s">
        <v>119</v>
      </c>
      <c r="L22" s="31">
        <v>850</v>
      </c>
      <c r="M22" s="33">
        <v>0</v>
      </c>
    </row>
    <row r="23" spans="1:13" x14ac:dyDescent="0.3">
      <c r="A23" s="30">
        <v>19</v>
      </c>
      <c r="B23" s="31" t="s">
        <v>123</v>
      </c>
      <c r="C23" s="32" t="s">
        <v>124</v>
      </c>
      <c r="D23" s="32" t="s">
        <v>22</v>
      </c>
      <c r="E23" s="31" t="s">
        <v>41</v>
      </c>
      <c r="F23" s="32" t="s">
        <v>84</v>
      </c>
      <c r="G23" s="32" t="s">
        <v>85</v>
      </c>
      <c r="H23" s="31" t="s">
        <v>86</v>
      </c>
      <c r="I23" s="32" t="s">
        <v>126</v>
      </c>
      <c r="J23" s="31" t="s">
        <v>127</v>
      </c>
      <c r="K23" s="32" t="s">
        <v>128</v>
      </c>
      <c r="L23" s="31">
        <v>130</v>
      </c>
      <c r="M23" s="33">
        <v>0</v>
      </c>
    </row>
    <row r="24" spans="1:13" x14ac:dyDescent="0.3">
      <c r="A24" s="30">
        <v>20</v>
      </c>
      <c r="B24" s="31" t="s">
        <v>123</v>
      </c>
      <c r="C24" s="32" t="s">
        <v>124</v>
      </c>
      <c r="D24" s="32" t="s">
        <v>22</v>
      </c>
      <c r="E24" s="31" t="s">
        <v>42</v>
      </c>
      <c r="F24" s="32" t="s">
        <v>92</v>
      </c>
      <c r="G24" s="32" t="s">
        <v>93</v>
      </c>
      <c r="H24" s="31" t="s">
        <v>94</v>
      </c>
      <c r="I24" s="32" t="s">
        <v>130</v>
      </c>
      <c r="J24" s="31" t="s">
        <v>127</v>
      </c>
      <c r="K24" s="32" t="s">
        <v>131</v>
      </c>
      <c r="L24" s="31">
        <v>220</v>
      </c>
      <c r="M24" s="33">
        <v>0</v>
      </c>
    </row>
    <row r="25" spans="1:13" x14ac:dyDescent="0.3">
      <c r="A25" s="30">
        <v>21</v>
      </c>
      <c r="B25" s="31" t="s">
        <v>123</v>
      </c>
      <c r="C25" s="32" t="s">
        <v>124</v>
      </c>
      <c r="D25" s="32" t="s">
        <v>22</v>
      </c>
      <c r="E25" s="31" t="s">
        <v>43</v>
      </c>
      <c r="F25" s="32" t="s">
        <v>99</v>
      </c>
      <c r="G25" s="32" t="s">
        <v>100</v>
      </c>
      <c r="H25" s="31" t="s">
        <v>101</v>
      </c>
      <c r="I25" s="32" t="s">
        <v>133</v>
      </c>
      <c r="J25" s="31" t="s">
        <v>127</v>
      </c>
      <c r="K25" s="32" t="s">
        <v>134</v>
      </c>
      <c r="L25" s="31">
        <v>160</v>
      </c>
      <c r="M25" s="33">
        <v>0</v>
      </c>
    </row>
    <row r="26" spans="1:13" x14ac:dyDescent="0.3">
      <c r="A26" s="30">
        <v>22</v>
      </c>
      <c r="B26" s="31" t="s">
        <v>138</v>
      </c>
      <c r="C26" s="32" t="s">
        <v>139</v>
      </c>
      <c r="D26" s="32" t="s">
        <v>22</v>
      </c>
      <c r="E26" s="31" t="s">
        <v>41</v>
      </c>
      <c r="F26" s="32" t="s">
        <v>84</v>
      </c>
      <c r="G26" s="32" t="s">
        <v>85</v>
      </c>
      <c r="H26" s="31" t="s">
        <v>86</v>
      </c>
      <c r="I26" s="32" t="s">
        <v>140</v>
      </c>
      <c r="J26" s="31" t="s">
        <v>141</v>
      </c>
      <c r="K26" s="32" t="s">
        <v>142</v>
      </c>
      <c r="L26" s="31">
        <v>110</v>
      </c>
      <c r="M26" s="33">
        <v>0</v>
      </c>
    </row>
    <row r="27" spans="1:13" x14ac:dyDescent="0.3">
      <c r="A27" s="30">
        <v>23</v>
      </c>
      <c r="B27" s="31" t="s">
        <v>138</v>
      </c>
      <c r="C27" s="32" t="s">
        <v>139</v>
      </c>
      <c r="D27" s="32" t="s">
        <v>22</v>
      </c>
      <c r="E27" s="31" t="s">
        <v>42</v>
      </c>
      <c r="F27" s="32" t="s">
        <v>92</v>
      </c>
      <c r="G27" s="32" t="s">
        <v>93</v>
      </c>
      <c r="H27" s="31" t="s">
        <v>94</v>
      </c>
      <c r="I27" s="32" t="s">
        <v>145</v>
      </c>
      <c r="J27" s="31" t="s">
        <v>141</v>
      </c>
      <c r="K27" s="32" t="s">
        <v>146</v>
      </c>
      <c r="L27" s="31">
        <v>260</v>
      </c>
      <c r="M27" s="33">
        <v>0</v>
      </c>
    </row>
    <row r="28" spans="1:13" x14ac:dyDescent="0.3">
      <c r="A28" s="30">
        <v>23</v>
      </c>
      <c r="B28" s="31" t="s">
        <v>138</v>
      </c>
      <c r="C28" s="32" t="s">
        <v>139</v>
      </c>
      <c r="D28" s="32" t="s">
        <v>22</v>
      </c>
      <c r="E28" s="31" t="s">
        <v>42</v>
      </c>
      <c r="F28" s="32" t="s">
        <v>92</v>
      </c>
      <c r="G28" s="32" t="s">
        <v>93</v>
      </c>
      <c r="H28" s="31" t="s">
        <v>94</v>
      </c>
      <c r="I28" s="32" t="s">
        <v>145</v>
      </c>
      <c r="J28" s="31" t="s">
        <v>141</v>
      </c>
      <c r="K28" s="32" t="s">
        <v>146</v>
      </c>
      <c r="L28" s="31">
        <v>260</v>
      </c>
      <c r="M28" s="33">
        <v>0</v>
      </c>
    </row>
    <row r="29" spans="1:13" x14ac:dyDescent="0.3">
      <c r="A29" s="30">
        <v>24</v>
      </c>
      <c r="B29" s="31" t="s">
        <v>138</v>
      </c>
      <c r="C29" s="32" t="s">
        <v>139</v>
      </c>
      <c r="D29" s="32" t="s">
        <v>22</v>
      </c>
      <c r="E29" s="31" t="s">
        <v>43</v>
      </c>
      <c r="F29" s="32" t="s">
        <v>99</v>
      </c>
      <c r="G29" s="32" t="s">
        <v>100</v>
      </c>
      <c r="H29" s="31" t="s">
        <v>117</v>
      </c>
      <c r="I29" s="32" t="s">
        <v>148</v>
      </c>
      <c r="J29" s="31" t="s">
        <v>141</v>
      </c>
      <c r="K29" s="32" t="s">
        <v>149</v>
      </c>
      <c r="L29" s="31">
        <v>200</v>
      </c>
      <c r="M29" s="33">
        <v>0</v>
      </c>
    </row>
    <row r="30" spans="1:13" x14ac:dyDescent="0.3">
      <c r="A30" s="30">
        <v>25</v>
      </c>
      <c r="B30" s="31" t="s">
        <v>82</v>
      </c>
      <c r="C30" s="32" t="s">
        <v>83</v>
      </c>
      <c r="D30" s="32" t="s">
        <v>23</v>
      </c>
      <c r="E30" s="31" t="s">
        <v>41</v>
      </c>
      <c r="F30" s="32" t="s">
        <v>84</v>
      </c>
      <c r="G30" s="32" t="s">
        <v>85</v>
      </c>
      <c r="H30" s="31" t="s">
        <v>86</v>
      </c>
      <c r="I30" s="32" t="s">
        <v>87</v>
      </c>
      <c r="J30" s="31" t="s">
        <v>88</v>
      </c>
      <c r="K30" s="32" t="s">
        <v>89</v>
      </c>
      <c r="L30" s="31">
        <v>160</v>
      </c>
      <c r="M30" s="33">
        <v>0</v>
      </c>
    </row>
    <row r="31" spans="1:13" x14ac:dyDescent="0.3">
      <c r="A31" s="30">
        <v>26</v>
      </c>
      <c r="B31" s="31" t="s">
        <v>82</v>
      </c>
      <c r="C31" s="32" t="s">
        <v>83</v>
      </c>
      <c r="D31" s="32" t="s">
        <v>23</v>
      </c>
      <c r="E31" s="31" t="s">
        <v>42</v>
      </c>
      <c r="F31" s="32"/>
      <c r="G31" s="32" t="s">
        <v>93</v>
      </c>
      <c r="H31" s="31" t="s">
        <v>94</v>
      </c>
      <c r="I31" s="32" t="s">
        <v>95</v>
      </c>
      <c r="J31" s="31" t="s">
        <v>88</v>
      </c>
      <c r="K31" s="32" t="s">
        <v>96</v>
      </c>
      <c r="L31" s="31">
        <v>350</v>
      </c>
      <c r="M31" s="33">
        <v>0</v>
      </c>
    </row>
    <row r="32" spans="1:13" x14ac:dyDescent="0.3">
      <c r="A32" s="30">
        <v>27</v>
      </c>
      <c r="B32" s="31" t="s">
        <v>82</v>
      </c>
      <c r="C32" s="32" t="s">
        <v>83</v>
      </c>
      <c r="D32" s="32" t="s">
        <v>23</v>
      </c>
      <c r="E32" s="31" t="s">
        <v>43</v>
      </c>
      <c r="F32" s="32" t="s">
        <v>99</v>
      </c>
      <c r="G32" s="32" t="s">
        <v>100</v>
      </c>
      <c r="H32" s="31" t="s">
        <v>101</v>
      </c>
      <c r="I32" s="32" t="s">
        <v>102</v>
      </c>
      <c r="J32" s="31" t="s">
        <v>88</v>
      </c>
      <c r="K32" s="32" t="s">
        <v>103</v>
      </c>
      <c r="L32" s="31">
        <v>220</v>
      </c>
      <c r="M32" s="33">
        <v>0</v>
      </c>
    </row>
    <row r="33" spans="1:13" x14ac:dyDescent="0.3">
      <c r="A33" s="30">
        <v>28</v>
      </c>
      <c r="B33" s="31" t="s">
        <v>108</v>
      </c>
      <c r="C33" s="32" t="s">
        <v>109</v>
      </c>
      <c r="D33" s="32" t="s">
        <v>23</v>
      </c>
      <c r="E33" s="31" t="s">
        <v>41</v>
      </c>
      <c r="F33" s="32" t="s">
        <v>84</v>
      </c>
      <c r="G33" s="32" t="s">
        <v>85</v>
      </c>
      <c r="H33" s="31" t="s">
        <v>86</v>
      </c>
      <c r="I33" s="32" t="s">
        <v>110</v>
      </c>
      <c r="J33" s="31" t="s">
        <v>111</v>
      </c>
      <c r="K33" s="32" t="s">
        <v>112</v>
      </c>
      <c r="L33" s="31">
        <v>550</v>
      </c>
      <c r="M33" s="33">
        <v>0</v>
      </c>
    </row>
    <row r="34" spans="1:13" x14ac:dyDescent="0.3">
      <c r="A34" s="30">
        <v>29</v>
      </c>
      <c r="B34" s="31" t="s">
        <v>108</v>
      </c>
      <c r="C34" s="32" t="s">
        <v>109</v>
      </c>
      <c r="D34" s="32" t="s">
        <v>23</v>
      </c>
      <c r="E34" s="31" t="s">
        <v>42</v>
      </c>
      <c r="F34" s="32" t="s">
        <v>92</v>
      </c>
      <c r="G34" s="32" t="s">
        <v>93</v>
      </c>
      <c r="H34" s="31" t="s">
        <v>144</v>
      </c>
      <c r="I34" s="32" t="s">
        <v>114</v>
      </c>
      <c r="J34" s="31" t="s">
        <v>111</v>
      </c>
      <c r="K34" s="32" t="s">
        <v>115</v>
      </c>
      <c r="L34" s="31">
        <v>1200</v>
      </c>
      <c r="M34" s="33">
        <v>0</v>
      </c>
    </row>
    <row r="35" spans="1:13" x14ac:dyDescent="0.3">
      <c r="A35" s="30">
        <v>30</v>
      </c>
      <c r="B35" s="31" t="s">
        <v>108</v>
      </c>
      <c r="C35" s="32" t="s">
        <v>109</v>
      </c>
      <c r="D35" s="32" t="s">
        <v>23</v>
      </c>
      <c r="E35" s="31" t="s">
        <v>43</v>
      </c>
      <c r="F35" s="32" t="s">
        <v>99</v>
      </c>
      <c r="G35" s="32" t="s">
        <v>100</v>
      </c>
      <c r="H35" s="31" t="s">
        <v>101</v>
      </c>
      <c r="I35" s="32" t="s">
        <v>118</v>
      </c>
      <c r="J35" s="31" t="s">
        <v>111</v>
      </c>
      <c r="K35" s="32" t="s">
        <v>119</v>
      </c>
      <c r="L35" s="31">
        <v>850</v>
      </c>
      <c r="M35" s="33">
        <v>0</v>
      </c>
    </row>
    <row r="36" spans="1:13" x14ac:dyDescent="0.3">
      <c r="A36" s="30">
        <v>30</v>
      </c>
      <c r="B36" s="31" t="s">
        <v>108</v>
      </c>
      <c r="C36" s="32" t="s">
        <v>109</v>
      </c>
      <c r="D36" s="32" t="s">
        <v>23</v>
      </c>
      <c r="E36" s="31" t="s">
        <v>43</v>
      </c>
      <c r="F36" s="32" t="s">
        <v>99</v>
      </c>
      <c r="G36" s="32" t="s">
        <v>100</v>
      </c>
      <c r="H36" s="31" t="s">
        <v>101</v>
      </c>
      <c r="I36" s="32" t="s">
        <v>118</v>
      </c>
      <c r="J36" s="31" t="s">
        <v>111</v>
      </c>
      <c r="K36" s="32" t="s">
        <v>119</v>
      </c>
      <c r="L36" s="31">
        <v>850</v>
      </c>
      <c r="M36" s="33">
        <v>0</v>
      </c>
    </row>
    <row r="37" spans="1:13" x14ac:dyDescent="0.3">
      <c r="A37" s="30">
        <v>31</v>
      </c>
      <c r="B37" s="31" t="s">
        <v>123</v>
      </c>
      <c r="C37" s="32" t="s">
        <v>124</v>
      </c>
      <c r="D37" s="32" t="s">
        <v>23</v>
      </c>
      <c r="E37" s="31" t="s">
        <v>41</v>
      </c>
      <c r="F37" s="32" t="s">
        <v>84</v>
      </c>
      <c r="G37" s="32" t="s">
        <v>85</v>
      </c>
      <c r="H37" s="31" t="s">
        <v>86</v>
      </c>
      <c r="I37" s="32" t="s">
        <v>126</v>
      </c>
      <c r="J37" s="31" t="s">
        <v>127</v>
      </c>
      <c r="K37" s="32" t="s">
        <v>128</v>
      </c>
      <c r="L37" s="31">
        <v>130</v>
      </c>
      <c r="M37" s="33">
        <v>0</v>
      </c>
    </row>
    <row r="38" spans="1:13" x14ac:dyDescent="0.3">
      <c r="A38" s="30">
        <v>32</v>
      </c>
      <c r="B38" s="31" t="s">
        <v>123</v>
      </c>
      <c r="C38" s="32" t="s">
        <v>124</v>
      </c>
      <c r="D38" s="32" t="s">
        <v>23</v>
      </c>
      <c r="E38" s="31" t="s">
        <v>42</v>
      </c>
      <c r="F38" s="32" t="s">
        <v>92</v>
      </c>
      <c r="G38" s="32" t="s">
        <v>93</v>
      </c>
      <c r="H38" s="31" t="s">
        <v>94</v>
      </c>
      <c r="I38" s="32" t="s">
        <v>130</v>
      </c>
      <c r="J38" s="31" t="s">
        <v>127</v>
      </c>
      <c r="K38" s="32" t="s">
        <v>131</v>
      </c>
      <c r="L38" s="31">
        <v>220</v>
      </c>
      <c r="M38" s="33">
        <v>0</v>
      </c>
    </row>
    <row r="39" spans="1:13" x14ac:dyDescent="0.3">
      <c r="A39" s="30">
        <v>33</v>
      </c>
      <c r="B39" s="31" t="s">
        <v>123</v>
      </c>
      <c r="C39" s="32" t="s">
        <v>124</v>
      </c>
      <c r="D39" s="32" t="s">
        <v>23</v>
      </c>
      <c r="E39" s="31" t="s">
        <v>43</v>
      </c>
      <c r="F39" s="32" t="s">
        <v>99</v>
      </c>
      <c r="G39" s="32" t="s">
        <v>100</v>
      </c>
      <c r="H39" s="31" t="s">
        <v>101</v>
      </c>
      <c r="I39" s="32" t="s">
        <v>133</v>
      </c>
      <c r="J39" s="31" t="s">
        <v>127</v>
      </c>
      <c r="K39" s="32" t="s">
        <v>134</v>
      </c>
      <c r="L39" s="31">
        <v>160</v>
      </c>
      <c r="M39" s="33">
        <v>0</v>
      </c>
    </row>
    <row r="40" spans="1:13" x14ac:dyDescent="0.3">
      <c r="A40" s="30">
        <v>34</v>
      </c>
      <c r="B40" s="31" t="s">
        <v>138</v>
      </c>
      <c r="C40" s="32" t="s">
        <v>139</v>
      </c>
      <c r="D40" s="32" t="s">
        <v>23</v>
      </c>
      <c r="E40" s="31" t="s">
        <v>41</v>
      </c>
      <c r="F40" s="32" t="s">
        <v>84</v>
      </c>
      <c r="G40" s="32" t="s">
        <v>85</v>
      </c>
      <c r="H40" s="31" t="s">
        <v>125</v>
      </c>
      <c r="I40" s="32" t="s">
        <v>140</v>
      </c>
      <c r="J40" s="31" t="s">
        <v>141</v>
      </c>
      <c r="K40" s="32" t="s">
        <v>142</v>
      </c>
      <c r="L40" s="31">
        <v>110</v>
      </c>
      <c r="M40" s="33">
        <v>0</v>
      </c>
    </row>
    <row r="41" spans="1:13" x14ac:dyDescent="0.3">
      <c r="A41" s="30">
        <v>35</v>
      </c>
      <c r="B41" s="31" t="s">
        <v>138</v>
      </c>
      <c r="C41" s="32" t="s">
        <v>139</v>
      </c>
      <c r="D41" s="32" t="s">
        <v>23</v>
      </c>
      <c r="E41" s="31" t="s">
        <v>42</v>
      </c>
      <c r="F41" s="32" t="s">
        <v>92</v>
      </c>
      <c r="G41" s="32" t="s">
        <v>93</v>
      </c>
      <c r="H41" s="31" t="s">
        <v>94</v>
      </c>
      <c r="I41" s="32" t="s">
        <v>145</v>
      </c>
      <c r="J41" s="31" t="s">
        <v>141</v>
      </c>
      <c r="K41" s="32" t="s">
        <v>146</v>
      </c>
      <c r="L41" s="31">
        <v>260</v>
      </c>
      <c r="M41" s="33">
        <v>0</v>
      </c>
    </row>
    <row r="42" spans="1:13" x14ac:dyDescent="0.3">
      <c r="A42" s="30">
        <v>36</v>
      </c>
      <c r="B42" s="31" t="s">
        <v>138</v>
      </c>
      <c r="C42" s="32" t="s">
        <v>139</v>
      </c>
      <c r="D42" s="32" t="s">
        <v>23</v>
      </c>
      <c r="E42" s="31" t="s">
        <v>43</v>
      </c>
      <c r="F42" s="32" t="s">
        <v>99</v>
      </c>
      <c r="G42" s="32" t="s">
        <v>100</v>
      </c>
      <c r="H42" s="31" t="s">
        <v>101</v>
      </c>
      <c r="I42" s="32" t="s">
        <v>148</v>
      </c>
      <c r="J42" s="31" t="s">
        <v>141</v>
      </c>
      <c r="K42" s="32" t="s">
        <v>149</v>
      </c>
      <c r="L42" s="31">
        <v>200</v>
      </c>
      <c r="M42" s="33">
        <v>0</v>
      </c>
    </row>
    <row r="43" spans="1:13" x14ac:dyDescent="0.3">
      <c r="A43" s="30">
        <v>37</v>
      </c>
      <c r="B43" s="31" t="s">
        <v>82</v>
      </c>
      <c r="C43" s="32" t="s">
        <v>83</v>
      </c>
      <c r="D43" s="32" t="s">
        <v>24</v>
      </c>
      <c r="E43" s="31" t="s">
        <v>41</v>
      </c>
      <c r="F43" s="32" t="s">
        <v>84</v>
      </c>
      <c r="G43" s="32" t="s">
        <v>85</v>
      </c>
      <c r="H43" s="31" t="s">
        <v>86</v>
      </c>
      <c r="I43" s="32" t="s">
        <v>87</v>
      </c>
      <c r="J43" s="31" t="s">
        <v>88</v>
      </c>
      <c r="K43" s="32" t="s">
        <v>89</v>
      </c>
      <c r="L43" s="31">
        <v>200</v>
      </c>
      <c r="M43" s="33">
        <v>0</v>
      </c>
    </row>
    <row r="44" spans="1:13" x14ac:dyDescent="0.3">
      <c r="A44" s="30">
        <v>38</v>
      </c>
      <c r="B44" s="31" t="s">
        <v>82</v>
      </c>
      <c r="C44" s="32" t="s">
        <v>83</v>
      </c>
      <c r="D44" s="32" t="s">
        <v>24</v>
      </c>
      <c r="E44" s="31" t="s">
        <v>42</v>
      </c>
      <c r="F44" s="32" t="s">
        <v>92</v>
      </c>
      <c r="G44" s="32" t="s">
        <v>93</v>
      </c>
      <c r="H44" s="31" t="s">
        <v>94</v>
      </c>
      <c r="I44" s="32" t="s">
        <v>95</v>
      </c>
      <c r="J44" s="31" t="s">
        <v>88</v>
      </c>
      <c r="K44" s="32" t="s">
        <v>96</v>
      </c>
      <c r="L44" s="31">
        <v>450</v>
      </c>
      <c r="M44" s="33">
        <v>0</v>
      </c>
    </row>
    <row r="45" spans="1:13" x14ac:dyDescent="0.3">
      <c r="A45" s="30">
        <v>39</v>
      </c>
      <c r="B45" s="31" t="s">
        <v>82</v>
      </c>
      <c r="C45" s="32" t="s">
        <v>83</v>
      </c>
      <c r="D45" s="32" t="s">
        <v>24</v>
      </c>
      <c r="E45" s="31" t="s">
        <v>43</v>
      </c>
      <c r="F45" s="32" t="s">
        <v>99</v>
      </c>
      <c r="G45" s="32" t="s">
        <v>100</v>
      </c>
      <c r="H45" s="31" t="s">
        <v>101</v>
      </c>
      <c r="I45" s="32" t="s">
        <v>102</v>
      </c>
      <c r="J45" s="31" t="s">
        <v>88</v>
      </c>
      <c r="K45" s="32" t="s">
        <v>103</v>
      </c>
      <c r="L45" s="31">
        <v>300</v>
      </c>
      <c r="M45" s="33">
        <v>0</v>
      </c>
    </row>
    <row r="46" spans="1:13" x14ac:dyDescent="0.3">
      <c r="A46" s="30">
        <v>40</v>
      </c>
      <c r="B46" s="31" t="s">
        <v>108</v>
      </c>
      <c r="C46" s="32" t="s">
        <v>109</v>
      </c>
      <c r="D46" s="32" t="s">
        <v>24</v>
      </c>
      <c r="E46" s="31" t="s">
        <v>41</v>
      </c>
      <c r="F46" s="32"/>
      <c r="G46" s="32" t="s">
        <v>85</v>
      </c>
      <c r="H46" s="31" t="s">
        <v>86</v>
      </c>
      <c r="I46" s="32" t="s">
        <v>110</v>
      </c>
      <c r="J46" s="31" t="s">
        <v>111</v>
      </c>
      <c r="K46" s="32" t="s">
        <v>112</v>
      </c>
      <c r="L46" s="31">
        <v>700</v>
      </c>
      <c r="M46" s="33">
        <v>0</v>
      </c>
    </row>
    <row r="47" spans="1:13" x14ac:dyDescent="0.3">
      <c r="A47" s="30">
        <v>41</v>
      </c>
      <c r="B47" s="31" t="s">
        <v>108</v>
      </c>
      <c r="C47" s="32" t="s">
        <v>109</v>
      </c>
      <c r="D47" s="32" t="s">
        <v>24</v>
      </c>
      <c r="E47" s="31" t="s">
        <v>42</v>
      </c>
      <c r="F47" s="32" t="s">
        <v>92</v>
      </c>
      <c r="G47" s="32" t="s">
        <v>93</v>
      </c>
      <c r="H47" s="31" t="s">
        <v>94</v>
      </c>
      <c r="I47" s="32" t="s">
        <v>114</v>
      </c>
      <c r="J47" s="31" t="s">
        <v>111</v>
      </c>
      <c r="K47" s="32" t="s">
        <v>115</v>
      </c>
      <c r="L47" s="31">
        <v>1600</v>
      </c>
      <c r="M47" s="33">
        <v>0</v>
      </c>
    </row>
    <row r="48" spans="1:13" x14ac:dyDescent="0.3">
      <c r="A48" s="30">
        <v>42</v>
      </c>
      <c r="B48" s="31" t="s">
        <v>108</v>
      </c>
      <c r="C48" s="32" t="s">
        <v>109</v>
      </c>
      <c r="D48" s="32" t="s">
        <v>24</v>
      </c>
      <c r="E48" s="31" t="s">
        <v>43</v>
      </c>
      <c r="F48" s="32" t="s">
        <v>99</v>
      </c>
      <c r="G48" s="32" t="s">
        <v>100</v>
      </c>
      <c r="H48" s="31" t="s">
        <v>101</v>
      </c>
      <c r="I48" s="32" t="s">
        <v>118</v>
      </c>
      <c r="J48" s="31" t="s">
        <v>111</v>
      </c>
      <c r="K48" s="32" t="s">
        <v>119</v>
      </c>
      <c r="L48" s="31">
        <v>1000</v>
      </c>
      <c r="M48" s="33">
        <v>0</v>
      </c>
    </row>
    <row r="49" spans="1:13" x14ac:dyDescent="0.3">
      <c r="A49" s="30">
        <v>43</v>
      </c>
      <c r="B49" s="31" t="s">
        <v>123</v>
      </c>
      <c r="C49" s="32" t="s">
        <v>124</v>
      </c>
      <c r="D49" s="32" t="s">
        <v>24</v>
      </c>
      <c r="E49" s="31" t="s">
        <v>41</v>
      </c>
      <c r="F49" s="32" t="s">
        <v>84</v>
      </c>
      <c r="G49" s="32" t="s">
        <v>85</v>
      </c>
      <c r="H49" s="31" t="s">
        <v>125</v>
      </c>
      <c r="I49" s="32" t="s">
        <v>126</v>
      </c>
      <c r="J49" s="31" t="s">
        <v>127</v>
      </c>
      <c r="K49" s="32" t="s">
        <v>128</v>
      </c>
      <c r="L49" s="31">
        <v>160</v>
      </c>
      <c r="M49" s="33">
        <v>0</v>
      </c>
    </row>
    <row r="50" spans="1:13" x14ac:dyDescent="0.3">
      <c r="A50" s="30">
        <v>43</v>
      </c>
      <c r="B50" s="31" t="s">
        <v>123</v>
      </c>
      <c r="C50" s="32" t="s">
        <v>124</v>
      </c>
      <c r="D50" s="32" t="s">
        <v>24</v>
      </c>
      <c r="E50" s="31" t="s">
        <v>41</v>
      </c>
      <c r="F50" s="32" t="s">
        <v>84</v>
      </c>
      <c r="G50" s="32" t="s">
        <v>85</v>
      </c>
      <c r="H50" s="31" t="s">
        <v>125</v>
      </c>
      <c r="I50" s="32" t="s">
        <v>126</v>
      </c>
      <c r="J50" s="31" t="s">
        <v>127</v>
      </c>
      <c r="K50" s="32" t="s">
        <v>128</v>
      </c>
      <c r="L50" s="31">
        <v>160</v>
      </c>
      <c r="M50" s="33">
        <v>0</v>
      </c>
    </row>
    <row r="51" spans="1:13" x14ac:dyDescent="0.3">
      <c r="A51" s="30">
        <v>44</v>
      </c>
      <c r="B51" s="31" t="s">
        <v>123</v>
      </c>
      <c r="C51" s="32" t="s">
        <v>124</v>
      </c>
      <c r="D51" s="32" t="s">
        <v>24</v>
      </c>
      <c r="E51" s="31" t="s">
        <v>42</v>
      </c>
      <c r="F51" s="32" t="s">
        <v>92</v>
      </c>
      <c r="G51" s="32" t="s">
        <v>93</v>
      </c>
      <c r="H51" s="31" t="s">
        <v>94</v>
      </c>
      <c r="I51" s="32" t="s">
        <v>130</v>
      </c>
      <c r="J51" s="31" t="s">
        <v>127</v>
      </c>
      <c r="K51" s="32" t="s">
        <v>131</v>
      </c>
      <c r="L51" s="31">
        <v>280</v>
      </c>
      <c r="M51" s="33">
        <v>0</v>
      </c>
    </row>
    <row r="52" spans="1:13" x14ac:dyDescent="0.3">
      <c r="A52" s="30">
        <v>45</v>
      </c>
      <c r="B52" s="31" t="s">
        <v>123</v>
      </c>
      <c r="C52" s="32" t="s">
        <v>124</v>
      </c>
      <c r="D52" s="32" t="s">
        <v>24</v>
      </c>
      <c r="E52" s="31" t="s">
        <v>43</v>
      </c>
      <c r="F52" s="32" t="s">
        <v>99</v>
      </c>
      <c r="G52" s="32" t="s">
        <v>100</v>
      </c>
      <c r="H52" s="31" t="s">
        <v>101</v>
      </c>
      <c r="I52" s="32" t="s">
        <v>133</v>
      </c>
      <c r="J52" s="31" t="s">
        <v>127</v>
      </c>
      <c r="K52" s="32" t="s">
        <v>134</v>
      </c>
      <c r="L52" s="31">
        <v>200</v>
      </c>
      <c r="M52" s="33">
        <v>0</v>
      </c>
    </row>
    <row r="53" spans="1:13" x14ac:dyDescent="0.3">
      <c r="A53" s="30">
        <v>46</v>
      </c>
      <c r="B53" s="31" t="s">
        <v>138</v>
      </c>
      <c r="C53" s="32" t="s">
        <v>139</v>
      </c>
      <c r="D53" s="32" t="s">
        <v>24</v>
      </c>
      <c r="E53" s="31" t="s">
        <v>41</v>
      </c>
      <c r="F53" s="32" t="s">
        <v>84</v>
      </c>
      <c r="G53" s="32" t="s">
        <v>85</v>
      </c>
      <c r="H53" s="31" t="s">
        <v>86</v>
      </c>
      <c r="I53" s="32" t="s">
        <v>140</v>
      </c>
      <c r="J53" s="31" t="s">
        <v>141</v>
      </c>
      <c r="K53" s="32" t="s">
        <v>142</v>
      </c>
      <c r="L53" s="31">
        <v>130</v>
      </c>
      <c r="M53" s="33">
        <v>0</v>
      </c>
    </row>
    <row r="54" spans="1:13" x14ac:dyDescent="0.3">
      <c r="A54" s="30">
        <v>47</v>
      </c>
      <c r="B54" s="31" t="s">
        <v>138</v>
      </c>
      <c r="C54" s="32" t="s">
        <v>139</v>
      </c>
      <c r="D54" s="32" t="s">
        <v>24</v>
      </c>
      <c r="E54" s="31" t="s">
        <v>42</v>
      </c>
      <c r="F54" s="32" t="s">
        <v>92</v>
      </c>
      <c r="G54" s="32" t="s">
        <v>93</v>
      </c>
      <c r="H54" s="31" t="s">
        <v>94</v>
      </c>
      <c r="I54" s="32" t="s">
        <v>145</v>
      </c>
      <c r="J54" s="31" t="s">
        <v>141</v>
      </c>
      <c r="K54" s="32" t="s">
        <v>146</v>
      </c>
      <c r="L54" s="31">
        <v>300</v>
      </c>
      <c r="M54" s="33">
        <v>0</v>
      </c>
    </row>
    <row r="55" spans="1:13" x14ac:dyDescent="0.3">
      <c r="A55" s="30">
        <v>48</v>
      </c>
      <c r="B55" s="31" t="s">
        <v>138</v>
      </c>
      <c r="C55" s="32" t="s">
        <v>139</v>
      </c>
      <c r="D55" s="32" t="s">
        <v>24</v>
      </c>
      <c r="E55" s="31" t="s">
        <v>43</v>
      </c>
      <c r="F55" s="32"/>
      <c r="G55" s="32" t="s">
        <v>100</v>
      </c>
      <c r="H55" s="31" t="s">
        <v>117</v>
      </c>
      <c r="I55" s="32" t="s">
        <v>148</v>
      </c>
      <c r="J55" s="31" t="s">
        <v>141</v>
      </c>
      <c r="K55" s="32" t="s">
        <v>149</v>
      </c>
      <c r="L55" s="31">
        <v>230</v>
      </c>
      <c r="M55" s="33">
        <v>0</v>
      </c>
    </row>
    <row r="56" spans="1:13" x14ac:dyDescent="0.3">
      <c r="A56" s="30">
        <v>49</v>
      </c>
      <c r="B56" s="31" t="s">
        <v>82</v>
      </c>
      <c r="C56" s="32" t="s">
        <v>83</v>
      </c>
      <c r="D56" s="32" t="s">
        <v>25</v>
      </c>
      <c r="E56" s="31" t="s">
        <v>41</v>
      </c>
      <c r="F56" s="32" t="s">
        <v>84</v>
      </c>
      <c r="G56" s="32" t="s">
        <v>85</v>
      </c>
      <c r="H56" s="31" t="s">
        <v>86</v>
      </c>
      <c r="I56" s="32" t="s">
        <v>87</v>
      </c>
      <c r="J56" s="31" t="s">
        <v>88</v>
      </c>
      <c r="K56" s="32" t="s">
        <v>89</v>
      </c>
      <c r="L56" s="31">
        <v>200</v>
      </c>
      <c r="M56" s="33">
        <v>0</v>
      </c>
    </row>
    <row r="57" spans="1:13" x14ac:dyDescent="0.3">
      <c r="A57" s="30">
        <v>50</v>
      </c>
      <c r="B57" s="31" t="s">
        <v>82</v>
      </c>
      <c r="C57" s="32" t="s">
        <v>83</v>
      </c>
      <c r="D57" s="32" t="s">
        <v>25</v>
      </c>
      <c r="E57" s="31" t="s">
        <v>42</v>
      </c>
      <c r="F57" s="32" t="s">
        <v>92</v>
      </c>
      <c r="G57" s="32" t="s">
        <v>93</v>
      </c>
      <c r="H57" s="31" t="s">
        <v>94</v>
      </c>
      <c r="I57" s="32" t="s">
        <v>95</v>
      </c>
      <c r="J57" s="31" t="s">
        <v>88</v>
      </c>
      <c r="K57" s="32" t="s">
        <v>96</v>
      </c>
      <c r="L57" s="31">
        <v>450</v>
      </c>
      <c r="M57" s="33">
        <v>0</v>
      </c>
    </row>
    <row r="58" spans="1:13" x14ac:dyDescent="0.3">
      <c r="A58" s="30">
        <v>51</v>
      </c>
      <c r="B58" s="31" t="s">
        <v>82</v>
      </c>
      <c r="C58" s="32" t="s">
        <v>83</v>
      </c>
      <c r="D58" s="32" t="s">
        <v>25</v>
      </c>
      <c r="E58" s="31" t="s">
        <v>43</v>
      </c>
      <c r="F58" s="32" t="s">
        <v>99</v>
      </c>
      <c r="G58" s="32" t="s">
        <v>100</v>
      </c>
      <c r="H58" s="31" t="s">
        <v>101</v>
      </c>
      <c r="I58" s="32" t="s">
        <v>102</v>
      </c>
      <c r="J58" s="31" t="s">
        <v>88</v>
      </c>
      <c r="K58" s="32" t="s">
        <v>103</v>
      </c>
      <c r="L58" s="31">
        <v>350</v>
      </c>
      <c r="M58" s="33">
        <v>0</v>
      </c>
    </row>
    <row r="59" spans="1:13" x14ac:dyDescent="0.3">
      <c r="A59" s="30">
        <v>52</v>
      </c>
      <c r="B59" s="31" t="s">
        <v>108</v>
      </c>
      <c r="C59" s="32" t="s">
        <v>109</v>
      </c>
      <c r="D59" s="32" t="s">
        <v>25</v>
      </c>
      <c r="E59" s="31" t="s">
        <v>41</v>
      </c>
      <c r="F59" s="32" t="s">
        <v>84</v>
      </c>
      <c r="G59" s="32" t="s">
        <v>85</v>
      </c>
      <c r="H59" s="31" t="s">
        <v>125</v>
      </c>
      <c r="I59" s="32" t="s">
        <v>110</v>
      </c>
      <c r="J59" s="31" t="s">
        <v>111</v>
      </c>
      <c r="K59" s="32" t="s">
        <v>112</v>
      </c>
      <c r="L59" s="31">
        <v>700</v>
      </c>
      <c r="M59" s="33">
        <v>0</v>
      </c>
    </row>
    <row r="60" spans="1:13" x14ac:dyDescent="0.3">
      <c r="A60" s="30">
        <v>53</v>
      </c>
      <c r="B60" s="31" t="s">
        <v>108</v>
      </c>
      <c r="C60" s="32" t="s">
        <v>109</v>
      </c>
      <c r="D60" s="32" t="s">
        <v>25</v>
      </c>
      <c r="E60" s="31" t="s">
        <v>42</v>
      </c>
      <c r="F60" s="32" t="s">
        <v>92</v>
      </c>
      <c r="G60" s="32" t="s">
        <v>93</v>
      </c>
      <c r="H60" s="31" t="s">
        <v>94</v>
      </c>
      <c r="I60" s="32" t="s">
        <v>114</v>
      </c>
      <c r="J60" s="31" t="s">
        <v>111</v>
      </c>
      <c r="K60" s="32" t="s">
        <v>115</v>
      </c>
      <c r="L60" s="31">
        <v>1600</v>
      </c>
      <c r="M60" s="33">
        <v>0</v>
      </c>
    </row>
    <row r="61" spans="1:13" x14ac:dyDescent="0.3">
      <c r="A61" s="30">
        <v>53</v>
      </c>
      <c r="B61" s="31" t="s">
        <v>108</v>
      </c>
      <c r="C61" s="32" t="s">
        <v>109</v>
      </c>
      <c r="D61" s="32" t="s">
        <v>25</v>
      </c>
      <c r="E61" s="31" t="s">
        <v>42</v>
      </c>
      <c r="F61" s="32" t="s">
        <v>92</v>
      </c>
      <c r="G61" s="32" t="s">
        <v>93</v>
      </c>
      <c r="H61" s="31" t="s">
        <v>94</v>
      </c>
      <c r="I61" s="32" t="s">
        <v>114</v>
      </c>
      <c r="J61" s="31" t="s">
        <v>111</v>
      </c>
      <c r="K61" s="32" t="s">
        <v>115</v>
      </c>
      <c r="L61" s="31">
        <v>1600</v>
      </c>
      <c r="M61" s="33">
        <v>0</v>
      </c>
    </row>
    <row r="62" spans="1:13" x14ac:dyDescent="0.3">
      <c r="A62" s="30">
        <v>54</v>
      </c>
      <c r="B62" s="31" t="s">
        <v>108</v>
      </c>
      <c r="C62" s="32" t="s">
        <v>109</v>
      </c>
      <c r="D62" s="32" t="s">
        <v>25</v>
      </c>
      <c r="E62" s="31" t="s">
        <v>43</v>
      </c>
      <c r="F62" s="32" t="s">
        <v>99</v>
      </c>
      <c r="G62" s="32" t="s">
        <v>100</v>
      </c>
      <c r="H62" s="31" t="s">
        <v>101</v>
      </c>
      <c r="I62" s="32" t="s">
        <v>118</v>
      </c>
      <c r="J62" s="31" t="s">
        <v>111</v>
      </c>
      <c r="K62" s="32" t="s">
        <v>119</v>
      </c>
      <c r="L62" s="31">
        <v>1000</v>
      </c>
      <c r="M62" s="33">
        <v>0</v>
      </c>
    </row>
    <row r="63" spans="1:13" x14ac:dyDescent="0.3">
      <c r="A63" s="30">
        <v>55</v>
      </c>
      <c r="B63" s="31" t="s">
        <v>123</v>
      </c>
      <c r="C63" s="32" t="s">
        <v>124</v>
      </c>
      <c r="D63" s="32" t="s">
        <v>25</v>
      </c>
      <c r="E63" s="31" t="s">
        <v>41</v>
      </c>
      <c r="F63" s="32" t="s">
        <v>84</v>
      </c>
      <c r="G63" s="32" t="s">
        <v>85</v>
      </c>
      <c r="H63" s="31" t="s">
        <v>86</v>
      </c>
      <c r="I63" s="32" t="s">
        <v>126</v>
      </c>
      <c r="J63" s="31" t="s">
        <v>127</v>
      </c>
      <c r="K63" s="32" t="s">
        <v>128</v>
      </c>
      <c r="L63" s="31">
        <v>180</v>
      </c>
      <c r="M63" s="33">
        <v>0</v>
      </c>
    </row>
    <row r="64" spans="1:13" x14ac:dyDescent="0.3">
      <c r="A64" s="30">
        <v>56</v>
      </c>
      <c r="B64" s="31" t="s">
        <v>123</v>
      </c>
      <c r="C64" s="32" t="s">
        <v>124</v>
      </c>
      <c r="D64" s="32" t="s">
        <v>25</v>
      </c>
      <c r="E64" s="31" t="s">
        <v>42</v>
      </c>
      <c r="F64" s="32" t="s">
        <v>92</v>
      </c>
      <c r="G64" s="32" t="s">
        <v>93</v>
      </c>
      <c r="H64" s="31" t="s">
        <v>94</v>
      </c>
      <c r="I64" s="32" t="s">
        <v>130</v>
      </c>
      <c r="J64" s="31" t="s">
        <v>127</v>
      </c>
      <c r="K64" s="32" t="s">
        <v>131</v>
      </c>
      <c r="L64" s="31">
        <v>320</v>
      </c>
      <c r="M64" s="33">
        <v>0</v>
      </c>
    </row>
    <row r="65" spans="1:13" x14ac:dyDescent="0.3">
      <c r="A65" s="30">
        <v>57</v>
      </c>
      <c r="B65" s="31" t="s">
        <v>123</v>
      </c>
      <c r="C65" s="32" t="s">
        <v>124</v>
      </c>
      <c r="D65" s="32" t="s">
        <v>25</v>
      </c>
      <c r="E65" s="31" t="s">
        <v>43</v>
      </c>
      <c r="F65" s="32" t="s">
        <v>99</v>
      </c>
      <c r="G65" s="32" t="s">
        <v>100</v>
      </c>
      <c r="H65" s="31" t="s">
        <v>101</v>
      </c>
      <c r="I65" s="32" t="s">
        <v>133</v>
      </c>
      <c r="J65" s="31" t="s">
        <v>127</v>
      </c>
      <c r="K65" s="32" t="s">
        <v>134</v>
      </c>
      <c r="L65" s="31">
        <v>220</v>
      </c>
      <c r="M65" s="33">
        <v>0</v>
      </c>
    </row>
    <row r="66" spans="1:13" x14ac:dyDescent="0.3">
      <c r="A66" s="30">
        <v>58</v>
      </c>
      <c r="B66" s="31" t="s">
        <v>138</v>
      </c>
      <c r="C66" s="32" t="s">
        <v>139</v>
      </c>
      <c r="D66" s="32" t="s">
        <v>25</v>
      </c>
      <c r="E66" s="31" t="s">
        <v>41</v>
      </c>
      <c r="F66" s="32" t="s">
        <v>84</v>
      </c>
      <c r="G66" s="32" t="s">
        <v>85</v>
      </c>
      <c r="H66" s="31" t="s">
        <v>86</v>
      </c>
      <c r="I66" s="32" t="s">
        <v>140</v>
      </c>
      <c r="J66" s="31" t="s">
        <v>141</v>
      </c>
      <c r="K66" s="32" t="s">
        <v>142</v>
      </c>
      <c r="L66" s="31">
        <v>140</v>
      </c>
      <c r="M66" s="33">
        <v>0</v>
      </c>
    </row>
    <row r="67" spans="1:13" x14ac:dyDescent="0.3">
      <c r="A67" s="30">
        <v>59</v>
      </c>
      <c r="B67" s="31" t="s">
        <v>138</v>
      </c>
      <c r="C67" s="32" t="s">
        <v>139</v>
      </c>
      <c r="D67" s="32" t="s">
        <v>25</v>
      </c>
      <c r="E67" s="31" t="s">
        <v>42</v>
      </c>
      <c r="F67" s="32" t="s">
        <v>92</v>
      </c>
      <c r="G67" s="32" t="s">
        <v>93</v>
      </c>
      <c r="H67" s="31" t="s">
        <v>144</v>
      </c>
      <c r="I67" s="32" t="s">
        <v>145</v>
      </c>
      <c r="J67" s="31" t="s">
        <v>141</v>
      </c>
      <c r="K67" s="32" t="s">
        <v>146</v>
      </c>
      <c r="L67" s="31">
        <v>300</v>
      </c>
      <c r="M67" s="33">
        <v>0</v>
      </c>
    </row>
    <row r="68" spans="1:13" x14ac:dyDescent="0.3">
      <c r="A68" s="30">
        <v>60</v>
      </c>
      <c r="B68" s="31" t="s">
        <v>138</v>
      </c>
      <c r="C68" s="32" t="s">
        <v>139</v>
      </c>
      <c r="D68" s="32" t="s">
        <v>25</v>
      </c>
      <c r="E68" s="31" t="s">
        <v>43</v>
      </c>
      <c r="F68" s="32" t="s">
        <v>99</v>
      </c>
      <c r="G68" s="32" t="s">
        <v>100</v>
      </c>
      <c r="H68" s="31" t="s">
        <v>101</v>
      </c>
      <c r="I68" s="32" t="s">
        <v>148</v>
      </c>
      <c r="J68" s="31" t="s">
        <v>141</v>
      </c>
      <c r="K68" s="32" t="s">
        <v>149</v>
      </c>
      <c r="L68" s="31">
        <v>280</v>
      </c>
      <c r="M68" s="33">
        <v>0</v>
      </c>
    </row>
    <row r="69" spans="1:13" x14ac:dyDescent="0.3">
      <c r="A69" s="30">
        <v>61</v>
      </c>
      <c r="B69" s="31" t="s">
        <v>82</v>
      </c>
      <c r="C69" s="32" t="s">
        <v>83</v>
      </c>
      <c r="D69" s="32" t="s">
        <v>26</v>
      </c>
      <c r="E69" s="31" t="s">
        <v>41</v>
      </c>
      <c r="F69" s="32" t="s">
        <v>84</v>
      </c>
      <c r="G69" s="32" t="s">
        <v>85</v>
      </c>
      <c r="H69" s="31" t="s">
        <v>86</v>
      </c>
      <c r="I69" s="32" t="s">
        <v>87</v>
      </c>
      <c r="J69" s="31" t="s">
        <v>88</v>
      </c>
      <c r="K69" s="32" t="s">
        <v>89</v>
      </c>
      <c r="L69" s="31">
        <v>250</v>
      </c>
      <c r="M69" s="33">
        <v>0</v>
      </c>
    </row>
    <row r="70" spans="1:13" x14ac:dyDescent="0.3">
      <c r="A70" s="30">
        <v>62</v>
      </c>
      <c r="B70" s="31" t="s">
        <v>82</v>
      </c>
      <c r="C70" s="32" t="s">
        <v>83</v>
      </c>
      <c r="D70" s="32" t="s">
        <v>26</v>
      </c>
      <c r="E70" s="31" t="s">
        <v>42</v>
      </c>
      <c r="F70" s="32" t="s">
        <v>92</v>
      </c>
      <c r="G70" s="32" t="s">
        <v>93</v>
      </c>
      <c r="H70" s="31" t="s">
        <v>94</v>
      </c>
      <c r="I70" s="32" t="s">
        <v>95</v>
      </c>
      <c r="J70" s="31" t="s">
        <v>88</v>
      </c>
      <c r="K70" s="32" t="s">
        <v>96</v>
      </c>
      <c r="L70" s="31">
        <v>500</v>
      </c>
      <c r="M70" s="33">
        <v>0</v>
      </c>
    </row>
    <row r="71" spans="1:13" x14ac:dyDescent="0.3">
      <c r="A71" s="30">
        <v>63</v>
      </c>
      <c r="B71" s="31" t="s">
        <v>82</v>
      </c>
      <c r="C71" s="32" t="s">
        <v>83</v>
      </c>
      <c r="D71" s="32" t="s">
        <v>26</v>
      </c>
      <c r="E71" s="31" t="s">
        <v>43</v>
      </c>
      <c r="F71" s="32"/>
      <c r="G71" s="32" t="s">
        <v>100</v>
      </c>
      <c r="H71" s="31" t="s">
        <v>101</v>
      </c>
      <c r="I71" s="32" t="s">
        <v>102</v>
      </c>
      <c r="J71" s="31" t="s">
        <v>88</v>
      </c>
      <c r="K71" s="32" t="s">
        <v>103</v>
      </c>
      <c r="L71" s="31">
        <v>400</v>
      </c>
      <c r="M71" s="33">
        <v>0</v>
      </c>
    </row>
    <row r="72" spans="1:13" x14ac:dyDescent="0.3">
      <c r="A72" s="30">
        <v>64</v>
      </c>
      <c r="B72" s="31" t="s">
        <v>108</v>
      </c>
      <c r="C72" s="32" t="s">
        <v>109</v>
      </c>
      <c r="D72" s="32" t="s">
        <v>26</v>
      </c>
      <c r="E72" s="31" t="s">
        <v>41</v>
      </c>
      <c r="F72" s="32" t="s">
        <v>84</v>
      </c>
      <c r="G72" s="32" t="s">
        <v>85</v>
      </c>
      <c r="H72" s="31" t="s">
        <v>86</v>
      </c>
      <c r="I72" s="32" t="s">
        <v>110</v>
      </c>
      <c r="J72" s="31" t="s">
        <v>111</v>
      </c>
      <c r="K72" s="32" t="s">
        <v>112</v>
      </c>
      <c r="L72" s="31">
        <v>800</v>
      </c>
      <c r="M72" s="33">
        <v>0</v>
      </c>
    </row>
    <row r="73" spans="1:13" x14ac:dyDescent="0.3">
      <c r="A73" s="30">
        <v>65</v>
      </c>
      <c r="B73" s="31" t="s">
        <v>108</v>
      </c>
      <c r="C73" s="32" t="s">
        <v>109</v>
      </c>
      <c r="D73" s="32" t="s">
        <v>26</v>
      </c>
      <c r="E73" s="31" t="s">
        <v>42</v>
      </c>
      <c r="F73" s="32" t="s">
        <v>92</v>
      </c>
      <c r="G73" s="32" t="s">
        <v>93</v>
      </c>
      <c r="H73" s="31" t="s">
        <v>94</v>
      </c>
      <c r="I73" s="32" t="s">
        <v>114</v>
      </c>
      <c r="J73" s="31" t="s">
        <v>111</v>
      </c>
      <c r="K73" s="32" t="s">
        <v>115</v>
      </c>
      <c r="L73" s="31">
        <v>1900</v>
      </c>
      <c r="M73" s="33">
        <v>0</v>
      </c>
    </row>
    <row r="74" spans="1:13" x14ac:dyDescent="0.3">
      <c r="A74" s="30">
        <v>66</v>
      </c>
      <c r="B74" s="31" t="s">
        <v>108</v>
      </c>
      <c r="C74" s="32" t="s">
        <v>109</v>
      </c>
      <c r="D74" s="32" t="s">
        <v>26</v>
      </c>
      <c r="E74" s="31" t="s">
        <v>43</v>
      </c>
      <c r="F74" s="32" t="s">
        <v>99</v>
      </c>
      <c r="G74" s="32" t="s">
        <v>100</v>
      </c>
      <c r="H74" s="31" t="s">
        <v>101</v>
      </c>
      <c r="I74" s="32" t="s">
        <v>118</v>
      </c>
      <c r="J74" s="31" t="s">
        <v>111</v>
      </c>
      <c r="K74" s="32" t="s">
        <v>119</v>
      </c>
      <c r="L74" s="31">
        <v>1200</v>
      </c>
      <c r="M74" s="33">
        <v>0</v>
      </c>
    </row>
    <row r="75" spans="1:13" x14ac:dyDescent="0.3">
      <c r="A75" s="30">
        <v>67</v>
      </c>
      <c r="B75" s="31" t="s">
        <v>123</v>
      </c>
      <c r="C75" s="32" t="s">
        <v>124</v>
      </c>
      <c r="D75" s="32" t="s">
        <v>26</v>
      </c>
      <c r="E75" s="31" t="s">
        <v>41</v>
      </c>
      <c r="F75" s="32" t="s">
        <v>84</v>
      </c>
      <c r="G75" s="32" t="s">
        <v>85</v>
      </c>
      <c r="H75" s="31" t="s">
        <v>86</v>
      </c>
      <c r="I75" s="32" t="s">
        <v>126</v>
      </c>
      <c r="J75" s="31" t="s">
        <v>127</v>
      </c>
      <c r="K75" s="32" t="s">
        <v>128</v>
      </c>
      <c r="L75" s="31">
        <v>200</v>
      </c>
      <c r="M75" s="33">
        <v>0</v>
      </c>
    </row>
    <row r="76" spans="1:13" x14ac:dyDescent="0.3">
      <c r="A76" s="30">
        <v>68</v>
      </c>
      <c r="B76" s="31" t="s">
        <v>123</v>
      </c>
      <c r="C76" s="32" t="s">
        <v>124</v>
      </c>
      <c r="D76" s="32" t="s">
        <v>26</v>
      </c>
      <c r="E76" s="31" t="s">
        <v>42</v>
      </c>
      <c r="F76" s="32" t="s">
        <v>92</v>
      </c>
      <c r="G76" s="32" t="s">
        <v>93</v>
      </c>
      <c r="H76" s="31" t="s">
        <v>144</v>
      </c>
      <c r="I76" s="32" t="s">
        <v>130</v>
      </c>
      <c r="J76" s="31" t="s">
        <v>127</v>
      </c>
      <c r="K76" s="32" t="s">
        <v>131</v>
      </c>
      <c r="L76" s="31">
        <v>350</v>
      </c>
      <c r="M76" s="33">
        <v>0</v>
      </c>
    </row>
    <row r="77" spans="1:13" x14ac:dyDescent="0.3">
      <c r="A77" s="30">
        <v>69</v>
      </c>
      <c r="B77" s="31" t="s">
        <v>123</v>
      </c>
      <c r="C77" s="32" t="s">
        <v>124</v>
      </c>
      <c r="D77" s="32" t="s">
        <v>26</v>
      </c>
      <c r="E77" s="31" t="s">
        <v>43</v>
      </c>
      <c r="F77" s="32" t="s">
        <v>99</v>
      </c>
      <c r="G77" s="32" t="s">
        <v>100</v>
      </c>
      <c r="H77" s="31" t="s">
        <v>117</v>
      </c>
      <c r="I77" s="32" t="s">
        <v>133</v>
      </c>
      <c r="J77" s="31" t="s">
        <v>127</v>
      </c>
      <c r="K77" s="32" t="s">
        <v>134</v>
      </c>
      <c r="L77" s="31">
        <v>250</v>
      </c>
      <c r="M77" s="33">
        <v>0</v>
      </c>
    </row>
    <row r="78" spans="1:13" x14ac:dyDescent="0.3">
      <c r="A78" s="30">
        <v>70</v>
      </c>
      <c r="B78" s="31" t="s">
        <v>138</v>
      </c>
      <c r="C78" s="32" t="s">
        <v>139</v>
      </c>
      <c r="D78" s="32" t="s">
        <v>26</v>
      </c>
      <c r="E78" s="31" t="s">
        <v>41</v>
      </c>
      <c r="F78" s="32"/>
      <c r="G78" s="32" t="s">
        <v>85</v>
      </c>
      <c r="H78" s="31" t="s">
        <v>86</v>
      </c>
      <c r="I78" s="32" t="s">
        <v>140</v>
      </c>
      <c r="J78" s="31" t="s">
        <v>141</v>
      </c>
      <c r="K78" s="32" t="s">
        <v>142</v>
      </c>
      <c r="L78" s="31">
        <v>150</v>
      </c>
      <c r="M78" s="33">
        <v>0</v>
      </c>
    </row>
    <row r="79" spans="1:13" x14ac:dyDescent="0.3">
      <c r="A79" s="30">
        <v>70</v>
      </c>
      <c r="B79" s="31" t="s">
        <v>138</v>
      </c>
      <c r="C79" s="32" t="s">
        <v>139</v>
      </c>
      <c r="D79" s="32" t="s">
        <v>26</v>
      </c>
      <c r="E79" s="31" t="s">
        <v>41</v>
      </c>
      <c r="F79" s="32"/>
      <c r="G79" s="32" t="s">
        <v>85</v>
      </c>
      <c r="H79" s="31" t="s">
        <v>86</v>
      </c>
      <c r="I79" s="32" t="s">
        <v>140</v>
      </c>
      <c r="J79" s="31" t="s">
        <v>141</v>
      </c>
      <c r="K79" s="32" t="s">
        <v>142</v>
      </c>
      <c r="L79" s="31">
        <v>150</v>
      </c>
      <c r="M79" s="33">
        <v>0</v>
      </c>
    </row>
    <row r="80" spans="1:13" x14ac:dyDescent="0.3">
      <c r="A80" s="30">
        <v>71</v>
      </c>
      <c r="B80" s="31" t="s">
        <v>138</v>
      </c>
      <c r="C80" s="32" t="s">
        <v>139</v>
      </c>
      <c r="D80" s="32" t="s">
        <v>26</v>
      </c>
      <c r="E80" s="31" t="s">
        <v>42</v>
      </c>
      <c r="F80" s="32" t="s">
        <v>92</v>
      </c>
      <c r="G80" s="32" t="s">
        <v>93</v>
      </c>
      <c r="H80" s="31" t="s">
        <v>94</v>
      </c>
      <c r="I80" s="32" t="s">
        <v>145</v>
      </c>
      <c r="J80" s="31" t="s">
        <v>141</v>
      </c>
      <c r="K80" s="32" t="s">
        <v>146</v>
      </c>
      <c r="L80" s="31">
        <v>350</v>
      </c>
      <c r="M80" s="33">
        <v>0</v>
      </c>
    </row>
    <row r="81" spans="1:13" x14ac:dyDescent="0.3">
      <c r="A81" s="30">
        <v>72</v>
      </c>
      <c r="B81" s="31" t="s">
        <v>138</v>
      </c>
      <c r="C81" s="32" t="s">
        <v>139</v>
      </c>
      <c r="D81" s="32" t="s">
        <v>26</v>
      </c>
      <c r="E81" s="31" t="s">
        <v>43</v>
      </c>
      <c r="F81" s="32" t="s">
        <v>99</v>
      </c>
      <c r="G81" s="32" t="s">
        <v>100</v>
      </c>
      <c r="H81" s="31" t="s">
        <v>101</v>
      </c>
      <c r="I81" s="32" t="s">
        <v>148</v>
      </c>
      <c r="J81" s="31" t="s">
        <v>141</v>
      </c>
      <c r="K81" s="32" t="s">
        <v>149</v>
      </c>
      <c r="L81" s="31">
        <v>300</v>
      </c>
      <c r="M81" s="33">
        <v>0</v>
      </c>
    </row>
    <row r="82" spans="1:13" x14ac:dyDescent="0.3">
      <c r="A82" s="30">
        <v>72</v>
      </c>
      <c r="B82" s="31" t="s">
        <v>138</v>
      </c>
      <c r="C82" s="32" t="s">
        <v>139</v>
      </c>
      <c r="D82" s="32" t="s">
        <v>26</v>
      </c>
      <c r="E82" s="31" t="s">
        <v>43</v>
      </c>
      <c r="F82" s="32" t="s">
        <v>99</v>
      </c>
      <c r="G82" s="32" t="s">
        <v>100</v>
      </c>
      <c r="H82" s="31" t="s">
        <v>101</v>
      </c>
      <c r="I82" s="32" t="s">
        <v>148</v>
      </c>
      <c r="J82" s="31" t="s">
        <v>141</v>
      </c>
      <c r="K82" s="32" t="s">
        <v>149</v>
      </c>
      <c r="L82" s="31">
        <v>300</v>
      </c>
      <c r="M82" s="33">
        <v>0</v>
      </c>
    </row>
    <row r="83" spans="1:13" x14ac:dyDescent="0.3">
      <c r="A83" s="30">
        <v>73</v>
      </c>
      <c r="B83" s="31" t="s">
        <v>82</v>
      </c>
      <c r="C83" s="32" t="s">
        <v>83</v>
      </c>
      <c r="D83" s="32" t="s">
        <v>27</v>
      </c>
      <c r="E83" s="31" t="s">
        <v>41</v>
      </c>
      <c r="F83" s="32" t="s">
        <v>84</v>
      </c>
      <c r="G83" s="32" t="s">
        <v>85</v>
      </c>
      <c r="H83" s="31" t="s">
        <v>86</v>
      </c>
      <c r="I83" s="32" t="s">
        <v>87</v>
      </c>
      <c r="J83" s="31" t="s">
        <v>88</v>
      </c>
      <c r="K83" s="32" t="s">
        <v>89</v>
      </c>
      <c r="L83" s="31">
        <v>250</v>
      </c>
      <c r="M83" s="33">
        <v>0</v>
      </c>
    </row>
    <row r="84" spans="1:13" x14ac:dyDescent="0.3">
      <c r="A84" s="30">
        <v>74</v>
      </c>
      <c r="B84" s="31" t="s">
        <v>82</v>
      </c>
      <c r="C84" s="32" t="s">
        <v>83</v>
      </c>
      <c r="D84" s="32" t="s">
        <v>27</v>
      </c>
      <c r="E84" s="31" t="s">
        <v>42</v>
      </c>
      <c r="F84" s="32" t="s">
        <v>92</v>
      </c>
      <c r="G84" s="32" t="s">
        <v>93</v>
      </c>
      <c r="H84" s="31" t="s">
        <v>94</v>
      </c>
      <c r="I84" s="32" t="s">
        <v>95</v>
      </c>
      <c r="J84" s="31" t="s">
        <v>88</v>
      </c>
      <c r="K84" s="32" t="s">
        <v>96</v>
      </c>
      <c r="L84" s="31">
        <v>500</v>
      </c>
      <c r="M84" s="33">
        <v>0</v>
      </c>
    </row>
    <row r="85" spans="1:13" x14ac:dyDescent="0.3">
      <c r="A85" s="30">
        <v>75</v>
      </c>
      <c r="B85" s="31" t="s">
        <v>82</v>
      </c>
      <c r="C85" s="32" t="s">
        <v>83</v>
      </c>
      <c r="D85" s="32" t="s">
        <v>27</v>
      </c>
      <c r="E85" s="31" t="s">
        <v>43</v>
      </c>
      <c r="F85" s="32" t="s">
        <v>99</v>
      </c>
      <c r="G85" s="32" t="s">
        <v>100</v>
      </c>
      <c r="H85" s="31" t="s">
        <v>101</v>
      </c>
      <c r="I85" s="32" t="s">
        <v>102</v>
      </c>
      <c r="J85" s="31" t="s">
        <v>88</v>
      </c>
      <c r="K85" s="32" t="s">
        <v>103</v>
      </c>
      <c r="L85" s="31">
        <v>400</v>
      </c>
      <c r="M85" s="33">
        <v>0</v>
      </c>
    </row>
    <row r="86" spans="1:13" x14ac:dyDescent="0.3">
      <c r="A86" s="30">
        <v>76</v>
      </c>
      <c r="B86" s="31" t="s">
        <v>108</v>
      </c>
      <c r="C86" s="32" t="s">
        <v>109</v>
      </c>
      <c r="D86" s="32" t="s">
        <v>27</v>
      </c>
      <c r="E86" s="31" t="s">
        <v>41</v>
      </c>
      <c r="F86" s="32" t="s">
        <v>84</v>
      </c>
      <c r="G86" s="32" t="s">
        <v>85</v>
      </c>
      <c r="H86" s="31" t="s">
        <v>125</v>
      </c>
      <c r="I86" s="32" t="s">
        <v>110</v>
      </c>
      <c r="J86" s="31" t="s">
        <v>111</v>
      </c>
      <c r="K86" s="32" t="s">
        <v>112</v>
      </c>
      <c r="L86" s="31">
        <v>800</v>
      </c>
      <c r="M86" s="33">
        <v>0</v>
      </c>
    </row>
    <row r="87" spans="1:13" x14ac:dyDescent="0.3">
      <c r="A87" s="30">
        <v>77</v>
      </c>
      <c r="B87" s="31" t="s">
        <v>108</v>
      </c>
      <c r="C87" s="32" t="s">
        <v>109</v>
      </c>
      <c r="D87" s="32" t="s">
        <v>27</v>
      </c>
      <c r="E87" s="31" t="s">
        <v>42</v>
      </c>
      <c r="F87" s="32" t="s">
        <v>92</v>
      </c>
      <c r="G87" s="32" t="s">
        <v>93</v>
      </c>
      <c r="H87" s="31" t="s">
        <v>94</v>
      </c>
      <c r="I87" s="32" t="s">
        <v>114</v>
      </c>
      <c r="J87" s="31" t="s">
        <v>111</v>
      </c>
      <c r="K87" s="32" t="s">
        <v>115</v>
      </c>
      <c r="L87" s="31">
        <v>1800</v>
      </c>
      <c r="M87" s="33">
        <v>0</v>
      </c>
    </row>
    <row r="88" spans="1:13" x14ac:dyDescent="0.3">
      <c r="A88" s="30">
        <v>78</v>
      </c>
      <c r="B88" s="31" t="s">
        <v>108</v>
      </c>
      <c r="C88" s="32" t="s">
        <v>109</v>
      </c>
      <c r="D88" s="32" t="s">
        <v>27</v>
      </c>
      <c r="E88" s="31" t="s">
        <v>43</v>
      </c>
      <c r="F88" s="32" t="s">
        <v>99</v>
      </c>
      <c r="G88" s="32" t="s">
        <v>100</v>
      </c>
      <c r="H88" s="31" t="s">
        <v>101</v>
      </c>
      <c r="I88" s="32" t="s">
        <v>118</v>
      </c>
      <c r="J88" s="31" t="s">
        <v>111</v>
      </c>
      <c r="K88" s="32" t="s">
        <v>119</v>
      </c>
      <c r="L88" s="31">
        <v>1200</v>
      </c>
      <c r="M88" s="33">
        <v>0</v>
      </c>
    </row>
    <row r="89" spans="1:13" x14ac:dyDescent="0.3">
      <c r="A89" s="30">
        <v>79</v>
      </c>
      <c r="B89" s="31" t="s">
        <v>123</v>
      </c>
      <c r="C89" s="32" t="s">
        <v>124</v>
      </c>
      <c r="D89" s="32" t="s">
        <v>27</v>
      </c>
      <c r="E89" s="31" t="s">
        <v>41</v>
      </c>
      <c r="F89" s="32" t="s">
        <v>84</v>
      </c>
      <c r="G89" s="32" t="s">
        <v>85</v>
      </c>
      <c r="H89" s="31" t="s">
        <v>86</v>
      </c>
      <c r="I89" s="32" t="s">
        <v>126</v>
      </c>
      <c r="J89" s="31" t="s">
        <v>127</v>
      </c>
      <c r="K89" s="32" t="s">
        <v>128</v>
      </c>
      <c r="L89" s="31">
        <v>200</v>
      </c>
      <c r="M89" s="33">
        <v>0</v>
      </c>
    </row>
    <row r="90" spans="1:13" x14ac:dyDescent="0.3">
      <c r="A90" s="30">
        <v>80</v>
      </c>
      <c r="B90" s="31" t="s">
        <v>123</v>
      </c>
      <c r="C90" s="32" t="s">
        <v>124</v>
      </c>
      <c r="D90" s="32" t="s">
        <v>27</v>
      </c>
      <c r="E90" s="31" t="s">
        <v>42</v>
      </c>
      <c r="F90" s="32" t="s">
        <v>92</v>
      </c>
      <c r="G90" s="32" t="s">
        <v>93</v>
      </c>
      <c r="H90" s="31" t="s">
        <v>94</v>
      </c>
      <c r="I90" s="32" t="s">
        <v>130</v>
      </c>
      <c r="J90" s="31" t="s">
        <v>127</v>
      </c>
      <c r="K90" s="32" t="s">
        <v>131</v>
      </c>
      <c r="L90" s="31">
        <v>350</v>
      </c>
      <c r="M90" s="33">
        <v>0</v>
      </c>
    </row>
    <row r="91" spans="1:13" x14ac:dyDescent="0.3">
      <c r="A91" s="30">
        <v>81</v>
      </c>
      <c r="B91" s="31" t="s">
        <v>123</v>
      </c>
      <c r="C91" s="32" t="s">
        <v>124</v>
      </c>
      <c r="D91" s="32" t="s">
        <v>27</v>
      </c>
      <c r="E91" s="31" t="s">
        <v>43</v>
      </c>
      <c r="F91" s="32" t="s">
        <v>99</v>
      </c>
      <c r="G91" s="32" t="s">
        <v>100</v>
      </c>
      <c r="H91" s="31" t="s">
        <v>101</v>
      </c>
      <c r="I91" s="32" t="s">
        <v>133</v>
      </c>
      <c r="J91" s="31" t="s">
        <v>127</v>
      </c>
      <c r="K91" s="32" t="s">
        <v>134</v>
      </c>
      <c r="L91" s="31">
        <v>250</v>
      </c>
      <c r="M91" s="33">
        <v>0</v>
      </c>
    </row>
    <row r="92" spans="1:13" x14ac:dyDescent="0.3">
      <c r="A92" s="30">
        <v>82</v>
      </c>
      <c r="B92" s="31" t="s">
        <v>138</v>
      </c>
      <c r="C92" s="32" t="s">
        <v>139</v>
      </c>
      <c r="D92" s="32" t="s">
        <v>27</v>
      </c>
      <c r="E92" s="31" t="s">
        <v>41</v>
      </c>
      <c r="F92" s="32" t="s">
        <v>84</v>
      </c>
      <c r="G92" s="32" t="s">
        <v>85</v>
      </c>
      <c r="H92" s="31" t="s">
        <v>86</v>
      </c>
      <c r="I92" s="32" t="s">
        <v>140</v>
      </c>
      <c r="J92" s="31" t="s">
        <v>141</v>
      </c>
      <c r="K92" s="32" t="s">
        <v>142</v>
      </c>
      <c r="L92" s="31">
        <v>160</v>
      </c>
      <c r="M92" s="33">
        <v>0</v>
      </c>
    </row>
    <row r="93" spans="1:13" x14ac:dyDescent="0.3">
      <c r="A93" s="30">
        <v>83</v>
      </c>
      <c r="B93" s="31" t="s">
        <v>138</v>
      </c>
      <c r="C93" s="32" t="s">
        <v>139</v>
      </c>
      <c r="D93" s="32" t="s">
        <v>27</v>
      </c>
      <c r="E93" s="31" t="s">
        <v>42</v>
      </c>
      <c r="F93" s="32" t="s">
        <v>92</v>
      </c>
      <c r="G93" s="32" t="s">
        <v>93</v>
      </c>
      <c r="H93" s="31" t="s">
        <v>94</v>
      </c>
      <c r="I93" s="32" t="s">
        <v>145</v>
      </c>
      <c r="J93" s="31" t="s">
        <v>141</v>
      </c>
      <c r="K93" s="32" t="s">
        <v>146</v>
      </c>
      <c r="L93" s="31">
        <v>320</v>
      </c>
      <c r="M93" s="33">
        <v>0</v>
      </c>
    </row>
    <row r="94" spans="1:13" x14ac:dyDescent="0.3">
      <c r="A94" s="30">
        <v>84</v>
      </c>
      <c r="B94" s="31" t="s">
        <v>138</v>
      </c>
      <c r="C94" s="32" t="s">
        <v>139</v>
      </c>
      <c r="D94" s="32" t="s">
        <v>27</v>
      </c>
      <c r="E94" s="31" t="s">
        <v>43</v>
      </c>
      <c r="F94" s="32" t="s">
        <v>99</v>
      </c>
      <c r="G94" s="32" t="s">
        <v>100</v>
      </c>
      <c r="H94" s="31" t="s">
        <v>101</v>
      </c>
      <c r="I94" s="32" t="s">
        <v>148</v>
      </c>
      <c r="J94" s="31" t="s">
        <v>141</v>
      </c>
      <c r="K94" s="32" t="s">
        <v>149</v>
      </c>
      <c r="L94" s="31">
        <v>300</v>
      </c>
      <c r="M94" s="33">
        <v>0</v>
      </c>
    </row>
    <row r="95" spans="1:13" x14ac:dyDescent="0.3">
      <c r="A95" s="30">
        <v>85</v>
      </c>
      <c r="B95" s="31" t="s">
        <v>82</v>
      </c>
      <c r="C95" s="32" t="s">
        <v>83</v>
      </c>
      <c r="D95" s="32" t="s">
        <v>28</v>
      </c>
      <c r="E95" s="31" t="s">
        <v>41</v>
      </c>
      <c r="F95" s="32" t="s">
        <v>84</v>
      </c>
      <c r="G95" s="32" t="s">
        <v>85</v>
      </c>
      <c r="H95" s="31" t="s">
        <v>86</v>
      </c>
      <c r="I95" s="32" t="s">
        <v>87</v>
      </c>
      <c r="J95" s="31" t="s">
        <v>88</v>
      </c>
      <c r="K95" s="32" t="s">
        <v>89</v>
      </c>
      <c r="L95" s="31">
        <v>200</v>
      </c>
      <c r="M95" s="33">
        <v>0</v>
      </c>
    </row>
    <row r="96" spans="1:13" x14ac:dyDescent="0.3">
      <c r="A96" s="30">
        <v>85</v>
      </c>
      <c r="B96" s="31" t="s">
        <v>82</v>
      </c>
      <c r="C96" s="32" t="s">
        <v>83</v>
      </c>
      <c r="D96" s="32" t="s">
        <v>28</v>
      </c>
      <c r="E96" s="31" t="s">
        <v>41</v>
      </c>
      <c r="F96" s="32" t="s">
        <v>84</v>
      </c>
      <c r="G96" s="32" t="s">
        <v>85</v>
      </c>
      <c r="H96" s="31" t="s">
        <v>86</v>
      </c>
      <c r="I96" s="32" t="s">
        <v>87</v>
      </c>
      <c r="J96" s="31" t="s">
        <v>88</v>
      </c>
      <c r="K96" s="32" t="s">
        <v>89</v>
      </c>
      <c r="L96" s="31">
        <v>200</v>
      </c>
      <c r="M96" s="33">
        <v>0</v>
      </c>
    </row>
    <row r="97" spans="1:13" x14ac:dyDescent="0.3">
      <c r="A97" s="30">
        <v>86</v>
      </c>
      <c r="B97" s="31" t="s">
        <v>82</v>
      </c>
      <c r="C97" s="32" t="s">
        <v>83</v>
      </c>
      <c r="D97" s="32" t="s">
        <v>28</v>
      </c>
      <c r="E97" s="31" t="s">
        <v>42</v>
      </c>
      <c r="F97" s="32" t="s">
        <v>92</v>
      </c>
      <c r="G97" s="32" t="s">
        <v>93</v>
      </c>
      <c r="H97" s="31" t="s">
        <v>94</v>
      </c>
      <c r="I97" s="32" t="s">
        <v>95</v>
      </c>
      <c r="J97" s="31" t="s">
        <v>88</v>
      </c>
      <c r="K97" s="32" t="s">
        <v>96</v>
      </c>
      <c r="L97" s="31">
        <v>450</v>
      </c>
      <c r="M97" s="33">
        <v>0</v>
      </c>
    </row>
    <row r="98" spans="1:13" x14ac:dyDescent="0.3">
      <c r="A98" s="30">
        <v>87</v>
      </c>
      <c r="B98" s="31" t="s">
        <v>82</v>
      </c>
      <c r="C98" s="32" t="s">
        <v>83</v>
      </c>
      <c r="D98" s="32" t="s">
        <v>28</v>
      </c>
      <c r="E98" s="31" t="s">
        <v>43</v>
      </c>
      <c r="F98" s="32" t="s">
        <v>99</v>
      </c>
      <c r="G98" s="32" t="s">
        <v>100</v>
      </c>
      <c r="H98" s="31" t="s">
        <v>117</v>
      </c>
      <c r="I98" s="32" t="s">
        <v>102</v>
      </c>
      <c r="J98" s="31" t="s">
        <v>88</v>
      </c>
      <c r="K98" s="32" t="s">
        <v>103</v>
      </c>
      <c r="L98" s="31">
        <v>350</v>
      </c>
      <c r="M98" s="33">
        <v>0</v>
      </c>
    </row>
    <row r="99" spans="1:13" x14ac:dyDescent="0.3">
      <c r="A99" s="30">
        <v>88</v>
      </c>
      <c r="B99" s="31" t="s">
        <v>108</v>
      </c>
      <c r="C99" s="32" t="s">
        <v>109</v>
      </c>
      <c r="D99" s="32" t="s">
        <v>28</v>
      </c>
      <c r="E99" s="31" t="s">
        <v>41</v>
      </c>
      <c r="F99" s="32"/>
      <c r="G99" s="32" t="s">
        <v>85</v>
      </c>
      <c r="H99" s="31" t="s">
        <v>86</v>
      </c>
      <c r="I99" s="32" t="s">
        <v>110</v>
      </c>
      <c r="J99" s="31" t="s">
        <v>111</v>
      </c>
      <c r="K99" s="32" t="s">
        <v>112</v>
      </c>
      <c r="L99" s="31">
        <v>700</v>
      </c>
      <c r="M99" s="33">
        <v>0</v>
      </c>
    </row>
    <row r="100" spans="1:13" x14ac:dyDescent="0.3">
      <c r="A100" s="30">
        <v>89</v>
      </c>
      <c r="B100" s="31" t="s">
        <v>108</v>
      </c>
      <c r="C100" s="32" t="s">
        <v>109</v>
      </c>
      <c r="D100" s="32" t="s">
        <v>28</v>
      </c>
      <c r="E100" s="31" t="s">
        <v>42</v>
      </c>
      <c r="F100" s="32" t="s">
        <v>92</v>
      </c>
      <c r="G100" s="32" t="s">
        <v>93</v>
      </c>
      <c r="H100" s="31" t="s">
        <v>94</v>
      </c>
      <c r="I100" s="32" t="s">
        <v>114</v>
      </c>
      <c r="J100" s="31" t="s">
        <v>111</v>
      </c>
      <c r="K100" s="32" t="s">
        <v>115</v>
      </c>
      <c r="L100" s="31">
        <v>1600</v>
      </c>
      <c r="M100" s="33">
        <v>0</v>
      </c>
    </row>
    <row r="101" spans="1:13" x14ac:dyDescent="0.3">
      <c r="A101" s="30">
        <v>90</v>
      </c>
      <c r="B101" s="31" t="s">
        <v>108</v>
      </c>
      <c r="C101" s="32" t="s">
        <v>109</v>
      </c>
      <c r="D101" s="32" t="s">
        <v>28</v>
      </c>
      <c r="E101" s="31" t="s">
        <v>43</v>
      </c>
      <c r="F101" s="32" t="s">
        <v>99</v>
      </c>
      <c r="G101" s="32" t="s">
        <v>100</v>
      </c>
      <c r="H101" s="31" t="s">
        <v>101</v>
      </c>
      <c r="I101" s="32" t="s">
        <v>118</v>
      </c>
      <c r="J101" s="31" t="s">
        <v>111</v>
      </c>
      <c r="K101" s="32" t="s">
        <v>119</v>
      </c>
      <c r="L101" s="31">
        <v>1000</v>
      </c>
      <c r="M101" s="33">
        <v>0</v>
      </c>
    </row>
    <row r="102" spans="1:13" x14ac:dyDescent="0.3">
      <c r="A102" s="30">
        <v>91</v>
      </c>
      <c r="B102" s="31" t="s">
        <v>123</v>
      </c>
      <c r="C102" s="32" t="s">
        <v>124</v>
      </c>
      <c r="D102" s="32" t="s">
        <v>28</v>
      </c>
      <c r="E102" s="31" t="s">
        <v>41</v>
      </c>
      <c r="F102" s="32" t="s">
        <v>84</v>
      </c>
      <c r="G102" s="32" t="s">
        <v>85</v>
      </c>
      <c r="H102" s="31" t="s">
        <v>86</v>
      </c>
      <c r="I102" s="32" t="s">
        <v>126</v>
      </c>
      <c r="J102" s="31" t="s">
        <v>127</v>
      </c>
      <c r="K102" s="32" t="s">
        <v>128</v>
      </c>
      <c r="L102" s="31">
        <v>180</v>
      </c>
      <c r="M102" s="33">
        <v>0</v>
      </c>
    </row>
    <row r="103" spans="1:13" x14ac:dyDescent="0.3">
      <c r="A103" s="30">
        <v>92</v>
      </c>
      <c r="B103" s="31" t="s">
        <v>123</v>
      </c>
      <c r="C103" s="32" t="s">
        <v>124</v>
      </c>
      <c r="D103" s="32" t="s">
        <v>28</v>
      </c>
      <c r="E103" s="31" t="s">
        <v>42</v>
      </c>
      <c r="F103" s="32" t="s">
        <v>92</v>
      </c>
      <c r="G103" s="32" t="s">
        <v>93</v>
      </c>
      <c r="H103" s="31" t="s">
        <v>144</v>
      </c>
      <c r="I103" s="32" t="s">
        <v>130</v>
      </c>
      <c r="J103" s="31" t="s">
        <v>127</v>
      </c>
      <c r="K103" s="32" t="s">
        <v>131</v>
      </c>
      <c r="L103" s="31">
        <v>300</v>
      </c>
      <c r="M103" s="33">
        <v>0</v>
      </c>
    </row>
    <row r="104" spans="1:13" x14ac:dyDescent="0.3">
      <c r="A104" s="30">
        <v>93</v>
      </c>
      <c r="B104" s="31" t="s">
        <v>123</v>
      </c>
      <c r="C104" s="32" t="s">
        <v>124</v>
      </c>
      <c r="D104" s="32" t="s">
        <v>28</v>
      </c>
      <c r="E104" s="31" t="s">
        <v>43</v>
      </c>
      <c r="F104" s="32" t="s">
        <v>99</v>
      </c>
      <c r="G104" s="32" t="s">
        <v>100</v>
      </c>
      <c r="H104" s="31" t="s">
        <v>101</v>
      </c>
      <c r="I104" s="32" t="s">
        <v>133</v>
      </c>
      <c r="J104" s="31" t="s">
        <v>127</v>
      </c>
      <c r="K104" s="32" t="s">
        <v>134</v>
      </c>
      <c r="L104" s="31">
        <v>230</v>
      </c>
      <c r="M104" s="33">
        <v>0</v>
      </c>
    </row>
    <row r="105" spans="1:13" x14ac:dyDescent="0.3">
      <c r="A105" s="30">
        <v>93</v>
      </c>
      <c r="B105" s="31" t="s">
        <v>123</v>
      </c>
      <c r="C105" s="32" t="s">
        <v>124</v>
      </c>
      <c r="D105" s="32" t="s">
        <v>28</v>
      </c>
      <c r="E105" s="31" t="s">
        <v>43</v>
      </c>
      <c r="F105" s="32" t="s">
        <v>99</v>
      </c>
      <c r="G105" s="32" t="s">
        <v>100</v>
      </c>
      <c r="H105" s="31" t="s">
        <v>101</v>
      </c>
      <c r="I105" s="32" t="s">
        <v>133</v>
      </c>
      <c r="J105" s="31" t="s">
        <v>127</v>
      </c>
      <c r="K105" s="32" t="s">
        <v>134</v>
      </c>
      <c r="L105" s="31">
        <v>230</v>
      </c>
      <c r="M105" s="33">
        <v>0</v>
      </c>
    </row>
    <row r="106" spans="1:13" x14ac:dyDescent="0.3">
      <c r="A106" s="30">
        <v>94</v>
      </c>
      <c r="B106" s="31" t="s">
        <v>138</v>
      </c>
      <c r="C106" s="32" t="s">
        <v>139</v>
      </c>
      <c r="D106" s="32" t="s">
        <v>28</v>
      </c>
      <c r="E106" s="31" t="s">
        <v>41</v>
      </c>
      <c r="F106" s="32" t="s">
        <v>84</v>
      </c>
      <c r="G106" s="32" t="s">
        <v>85</v>
      </c>
      <c r="H106" s="31" t="s">
        <v>86</v>
      </c>
      <c r="I106" s="32" t="s">
        <v>140</v>
      </c>
      <c r="J106" s="31" t="s">
        <v>141</v>
      </c>
      <c r="K106" s="32" t="s">
        <v>142</v>
      </c>
      <c r="L106" s="31">
        <v>150</v>
      </c>
      <c r="M106" s="33">
        <v>0</v>
      </c>
    </row>
    <row r="107" spans="1:13" x14ac:dyDescent="0.3">
      <c r="A107" s="30">
        <v>95</v>
      </c>
      <c r="B107" s="31" t="s">
        <v>138</v>
      </c>
      <c r="C107" s="32" t="s">
        <v>139</v>
      </c>
      <c r="D107" s="32" t="s">
        <v>28</v>
      </c>
      <c r="E107" s="31" t="s">
        <v>42</v>
      </c>
      <c r="F107" s="32" t="s">
        <v>92</v>
      </c>
      <c r="G107" s="32" t="s">
        <v>93</v>
      </c>
      <c r="H107" s="31" t="s">
        <v>94</v>
      </c>
      <c r="I107" s="32" t="s">
        <v>145</v>
      </c>
      <c r="J107" s="31" t="s">
        <v>141</v>
      </c>
      <c r="K107" s="32" t="s">
        <v>146</v>
      </c>
      <c r="L107" s="31">
        <v>280</v>
      </c>
      <c r="M107" s="33">
        <v>0</v>
      </c>
    </row>
    <row r="108" spans="1:13" x14ac:dyDescent="0.3">
      <c r="A108" s="30">
        <v>96</v>
      </c>
      <c r="B108" s="31" t="s">
        <v>138</v>
      </c>
      <c r="C108" s="32" t="s">
        <v>139</v>
      </c>
      <c r="D108" s="32" t="s">
        <v>28</v>
      </c>
      <c r="E108" s="31" t="s">
        <v>43</v>
      </c>
      <c r="F108" s="32" t="s">
        <v>99</v>
      </c>
      <c r="G108" s="32" t="s">
        <v>100</v>
      </c>
      <c r="H108" s="31" t="s">
        <v>101</v>
      </c>
      <c r="I108" s="32" t="s">
        <v>148</v>
      </c>
      <c r="J108" s="31" t="s">
        <v>141</v>
      </c>
      <c r="K108" s="32" t="s">
        <v>149</v>
      </c>
      <c r="L108" s="31">
        <v>290</v>
      </c>
      <c r="M108" s="33">
        <v>0</v>
      </c>
    </row>
    <row r="109" spans="1:13" x14ac:dyDescent="0.3">
      <c r="A109" s="30">
        <v>97</v>
      </c>
      <c r="B109" s="31" t="s">
        <v>82</v>
      </c>
      <c r="C109" s="32" t="s">
        <v>83</v>
      </c>
      <c r="D109" s="32" t="s">
        <v>29</v>
      </c>
      <c r="E109" s="31" t="s">
        <v>41</v>
      </c>
      <c r="F109" s="32" t="s">
        <v>84</v>
      </c>
      <c r="G109" s="32" t="s">
        <v>85</v>
      </c>
      <c r="H109" s="31" t="s">
        <v>86</v>
      </c>
      <c r="I109" s="32" t="s">
        <v>87</v>
      </c>
      <c r="J109" s="31" t="s">
        <v>88</v>
      </c>
      <c r="K109" s="32" t="s">
        <v>89</v>
      </c>
      <c r="L109" s="31">
        <v>180</v>
      </c>
      <c r="M109" s="33">
        <v>0</v>
      </c>
    </row>
    <row r="110" spans="1:13" x14ac:dyDescent="0.3">
      <c r="A110" s="30">
        <v>98</v>
      </c>
      <c r="B110" s="31" t="s">
        <v>82</v>
      </c>
      <c r="C110" s="32" t="s">
        <v>83</v>
      </c>
      <c r="D110" s="32" t="s">
        <v>29</v>
      </c>
      <c r="E110" s="31" t="s">
        <v>42</v>
      </c>
      <c r="F110" s="32" t="s">
        <v>92</v>
      </c>
      <c r="G110" s="32" t="s">
        <v>93</v>
      </c>
      <c r="H110" s="31" t="s">
        <v>94</v>
      </c>
      <c r="I110" s="32" t="s">
        <v>95</v>
      </c>
      <c r="J110" s="31" t="s">
        <v>88</v>
      </c>
      <c r="K110" s="32" t="s">
        <v>96</v>
      </c>
      <c r="L110" s="31">
        <v>500</v>
      </c>
      <c r="M110" s="33">
        <v>0</v>
      </c>
    </row>
    <row r="111" spans="1:13" x14ac:dyDescent="0.3">
      <c r="A111" s="30">
        <v>99</v>
      </c>
      <c r="B111" s="31" t="s">
        <v>82</v>
      </c>
      <c r="C111" s="32" t="s">
        <v>83</v>
      </c>
      <c r="D111" s="32" t="s">
        <v>29</v>
      </c>
      <c r="E111" s="31" t="s">
        <v>43</v>
      </c>
      <c r="F111" s="32" t="s">
        <v>99</v>
      </c>
      <c r="G111" s="32" t="s">
        <v>100</v>
      </c>
      <c r="H111" s="31" t="s">
        <v>101</v>
      </c>
      <c r="I111" s="32" t="s">
        <v>102</v>
      </c>
      <c r="J111" s="31" t="s">
        <v>88</v>
      </c>
      <c r="K111" s="32" t="s">
        <v>103</v>
      </c>
      <c r="L111" s="31">
        <v>300</v>
      </c>
      <c r="M111" s="33">
        <v>0</v>
      </c>
    </row>
    <row r="112" spans="1:13" x14ac:dyDescent="0.3">
      <c r="A112" s="30">
        <v>100</v>
      </c>
      <c r="B112" s="31" t="s">
        <v>108</v>
      </c>
      <c r="C112" s="32" t="s">
        <v>109</v>
      </c>
      <c r="D112" s="32" t="s">
        <v>29</v>
      </c>
      <c r="E112" s="31" t="s">
        <v>41</v>
      </c>
      <c r="F112" s="32" t="s">
        <v>84</v>
      </c>
      <c r="G112" s="32" t="s">
        <v>85</v>
      </c>
      <c r="H112" s="31" t="s">
        <v>86</v>
      </c>
      <c r="I112" s="32" t="s">
        <v>110</v>
      </c>
      <c r="J112" s="31" t="s">
        <v>111</v>
      </c>
      <c r="K112" s="32" t="s">
        <v>112</v>
      </c>
      <c r="L112" s="31">
        <v>600</v>
      </c>
      <c r="M112" s="33">
        <v>0</v>
      </c>
    </row>
    <row r="113" spans="1:13" x14ac:dyDescent="0.3">
      <c r="A113" s="30">
        <v>101</v>
      </c>
      <c r="B113" s="31" t="s">
        <v>108</v>
      </c>
      <c r="C113" s="32" t="s">
        <v>109</v>
      </c>
      <c r="D113" s="32" t="s">
        <v>29</v>
      </c>
      <c r="E113" s="31" t="s">
        <v>42</v>
      </c>
      <c r="F113" s="32" t="s">
        <v>92</v>
      </c>
      <c r="G113" s="32" t="s">
        <v>93</v>
      </c>
      <c r="H113" s="31" t="s">
        <v>94</v>
      </c>
      <c r="I113" s="32" t="s">
        <v>114</v>
      </c>
      <c r="J113" s="31" t="s">
        <v>111</v>
      </c>
      <c r="K113" s="32" t="s">
        <v>115</v>
      </c>
      <c r="L113" s="31">
        <v>1400</v>
      </c>
      <c r="M113" s="33">
        <v>0</v>
      </c>
    </row>
    <row r="114" spans="1:13" x14ac:dyDescent="0.3">
      <c r="A114" s="30">
        <v>102</v>
      </c>
      <c r="B114" s="31" t="s">
        <v>108</v>
      </c>
      <c r="C114" s="32" t="s">
        <v>109</v>
      </c>
      <c r="D114" s="32" t="s">
        <v>29</v>
      </c>
      <c r="E114" s="31" t="s">
        <v>43</v>
      </c>
      <c r="F114" s="32" t="s">
        <v>99</v>
      </c>
      <c r="G114" s="32" t="s">
        <v>100</v>
      </c>
      <c r="H114" s="31" t="s">
        <v>101</v>
      </c>
      <c r="I114" s="32" t="s">
        <v>118</v>
      </c>
      <c r="J114" s="31" t="s">
        <v>111</v>
      </c>
      <c r="K114" s="32" t="s">
        <v>119</v>
      </c>
      <c r="L114" s="31">
        <v>850</v>
      </c>
      <c r="M114" s="33">
        <v>0</v>
      </c>
    </row>
    <row r="115" spans="1:13" x14ac:dyDescent="0.3">
      <c r="A115" s="30">
        <v>103</v>
      </c>
      <c r="B115" s="31" t="s">
        <v>123</v>
      </c>
      <c r="C115" s="32" t="s">
        <v>124</v>
      </c>
      <c r="D115" s="32" t="s">
        <v>29</v>
      </c>
      <c r="E115" s="31" t="s">
        <v>41</v>
      </c>
      <c r="F115" s="32" t="s">
        <v>84</v>
      </c>
      <c r="G115" s="32" t="s">
        <v>85</v>
      </c>
      <c r="H115" s="31" t="s">
        <v>125</v>
      </c>
      <c r="I115" s="32" t="s">
        <v>126</v>
      </c>
      <c r="J115" s="31" t="s">
        <v>127</v>
      </c>
      <c r="K115" s="32" t="s">
        <v>128</v>
      </c>
      <c r="L115" s="31">
        <v>160</v>
      </c>
      <c r="M115" s="33">
        <v>0</v>
      </c>
    </row>
    <row r="116" spans="1:13" x14ac:dyDescent="0.3">
      <c r="A116" s="30">
        <v>104</v>
      </c>
      <c r="B116" s="31" t="s">
        <v>123</v>
      </c>
      <c r="C116" s="32" t="s">
        <v>124</v>
      </c>
      <c r="D116" s="32" t="s">
        <v>29</v>
      </c>
      <c r="E116" s="31" t="s">
        <v>42</v>
      </c>
      <c r="F116" s="32" t="s">
        <v>92</v>
      </c>
      <c r="G116" s="32" t="s">
        <v>93</v>
      </c>
      <c r="H116" s="31" t="s">
        <v>94</v>
      </c>
      <c r="I116" s="32" t="s">
        <v>130</v>
      </c>
      <c r="J116" s="31" t="s">
        <v>127</v>
      </c>
      <c r="K116" s="32" t="s">
        <v>131</v>
      </c>
      <c r="L116" s="31">
        <v>320</v>
      </c>
      <c r="M116" s="33">
        <v>0</v>
      </c>
    </row>
    <row r="117" spans="1:13" x14ac:dyDescent="0.3">
      <c r="A117" s="30">
        <v>105</v>
      </c>
      <c r="B117" s="31" t="s">
        <v>123</v>
      </c>
      <c r="C117" s="32" t="s">
        <v>124</v>
      </c>
      <c r="D117" s="32" t="s">
        <v>29</v>
      </c>
      <c r="E117" s="31" t="s">
        <v>43</v>
      </c>
      <c r="F117" s="32" t="s">
        <v>99</v>
      </c>
      <c r="G117" s="32" t="s">
        <v>100</v>
      </c>
      <c r="H117" s="31" t="s">
        <v>101</v>
      </c>
      <c r="I117" s="32" t="s">
        <v>133</v>
      </c>
      <c r="J117" s="31" t="s">
        <v>127</v>
      </c>
      <c r="K117" s="32" t="s">
        <v>134</v>
      </c>
      <c r="L117" s="31">
        <v>250</v>
      </c>
      <c r="M117" s="33">
        <v>0</v>
      </c>
    </row>
    <row r="118" spans="1:13" x14ac:dyDescent="0.3">
      <c r="A118" s="30">
        <v>105</v>
      </c>
      <c r="B118" s="31" t="s">
        <v>123</v>
      </c>
      <c r="C118" s="32" t="s">
        <v>124</v>
      </c>
      <c r="D118" s="32" t="s">
        <v>29</v>
      </c>
      <c r="E118" s="31" t="s">
        <v>43</v>
      </c>
      <c r="F118" s="32" t="s">
        <v>99</v>
      </c>
      <c r="G118" s="32" t="s">
        <v>100</v>
      </c>
      <c r="H118" s="31" t="s">
        <v>101</v>
      </c>
      <c r="I118" s="32" t="s">
        <v>133</v>
      </c>
      <c r="J118" s="31" t="s">
        <v>127</v>
      </c>
      <c r="K118" s="32" t="s">
        <v>134</v>
      </c>
      <c r="L118" s="31">
        <v>250</v>
      </c>
      <c r="M118" s="33">
        <v>0</v>
      </c>
    </row>
    <row r="119" spans="1:13" x14ac:dyDescent="0.3">
      <c r="A119" s="30">
        <v>106</v>
      </c>
      <c r="B119" s="31" t="s">
        <v>138</v>
      </c>
      <c r="C119" s="32" t="s">
        <v>139</v>
      </c>
      <c r="D119" s="32" t="s">
        <v>29</v>
      </c>
      <c r="E119" s="31" t="s">
        <v>41</v>
      </c>
      <c r="F119" s="32" t="s">
        <v>84</v>
      </c>
      <c r="G119" s="32" t="s">
        <v>85</v>
      </c>
      <c r="H119" s="31" t="s">
        <v>86</v>
      </c>
      <c r="I119" s="32" t="s">
        <v>140</v>
      </c>
      <c r="J119" s="31" t="s">
        <v>141</v>
      </c>
      <c r="K119" s="32" t="s">
        <v>142</v>
      </c>
      <c r="L119" s="31">
        <v>140</v>
      </c>
      <c r="M119" s="33">
        <v>0</v>
      </c>
    </row>
    <row r="120" spans="1:13" x14ac:dyDescent="0.3">
      <c r="A120" s="30">
        <v>107</v>
      </c>
      <c r="B120" s="31" t="s">
        <v>138</v>
      </c>
      <c r="C120" s="32" t="s">
        <v>139</v>
      </c>
      <c r="D120" s="32" t="s">
        <v>29</v>
      </c>
      <c r="E120" s="31" t="s">
        <v>42</v>
      </c>
      <c r="F120" s="32" t="s">
        <v>92</v>
      </c>
      <c r="G120" s="32" t="s">
        <v>93</v>
      </c>
      <c r="H120" s="31" t="s">
        <v>94</v>
      </c>
      <c r="I120" s="32" t="s">
        <v>145</v>
      </c>
      <c r="J120" s="31" t="s">
        <v>141</v>
      </c>
      <c r="K120" s="32" t="s">
        <v>146</v>
      </c>
      <c r="L120" s="31">
        <v>310</v>
      </c>
      <c r="M120" s="33">
        <v>0</v>
      </c>
    </row>
    <row r="121" spans="1:13" x14ac:dyDescent="0.3">
      <c r="A121" s="30">
        <v>108</v>
      </c>
      <c r="B121" s="31" t="s">
        <v>138</v>
      </c>
      <c r="C121" s="32" t="s">
        <v>139</v>
      </c>
      <c r="D121" s="32" t="s">
        <v>29</v>
      </c>
      <c r="E121" s="31" t="s">
        <v>43</v>
      </c>
      <c r="F121" s="32" t="s">
        <v>99</v>
      </c>
      <c r="G121" s="32" t="s">
        <v>100</v>
      </c>
      <c r="H121" s="31" t="s">
        <v>101</v>
      </c>
      <c r="I121" s="32" t="s">
        <v>148</v>
      </c>
      <c r="J121" s="31" t="s">
        <v>141</v>
      </c>
      <c r="K121" s="32" t="s">
        <v>149</v>
      </c>
      <c r="L121" s="31">
        <v>280</v>
      </c>
      <c r="M121" s="33">
        <v>0</v>
      </c>
    </row>
    <row r="122" spans="1:13" x14ac:dyDescent="0.3">
      <c r="A122" s="30">
        <v>109</v>
      </c>
      <c r="B122" s="31" t="s">
        <v>82</v>
      </c>
      <c r="C122" s="32" t="s">
        <v>83</v>
      </c>
      <c r="D122" s="32" t="s">
        <v>30</v>
      </c>
      <c r="E122" s="31" t="s">
        <v>41</v>
      </c>
      <c r="F122" s="32" t="s">
        <v>84</v>
      </c>
      <c r="G122" s="32" t="s">
        <v>85</v>
      </c>
      <c r="H122" s="31" t="s">
        <v>86</v>
      </c>
      <c r="I122" s="32" t="s">
        <v>87</v>
      </c>
      <c r="J122" s="31" t="s">
        <v>88</v>
      </c>
      <c r="K122" s="32" t="s">
        <v>89</v>
      </c>
      <c r="L122" s="31">
        <v>150</v>
      </c>
      <c r="M122" s="33">
        <v>0</v>
      </c>
    </row>
    <row r="123" spans="1:13" x14ac:dyDescent="0.3">
      <c r="A123" s="30">
        <v>110</v>
      </c>
      <c r="B123" s="31" t="s">
        <v>82</v>
      </c>
      <c r="C123" s="32" t="s">
        <v>83</v>
      </c>
      <c r="D123" s="32" t="s">
        <v>30</v>
      </c>
      <c r="E123" s="31" t="s">
        <v>42</v>
      </c>
      <c r="F123" s="32" t="s">
        <v>92</v>
      </c>
      <c r="G123" s="32" t="s">
        <v>93</v>
      </c>
      <c r="H123" s="31" t="s">
        <v>94</v>
      </c>
      <c r="I123" s="32" t="s">
        <v>95</v>
      </c>
      <c r="J123" s="31" t="s">
        <v>88</v>
      </c>
      <c r="K123" s="32" t="s">
        <v>96</v>
      </c>
      <c r="L123" s="31">
        <v>400</v>
      </c>
      <c r="M123" s="33">
        <v>0</v>
      </c>
    </row>
    <row r="124" spans="1:13" x14ac:dyDescent="0.3">
      <c r="A124" s="30">
        <v>111</v>
      </c>
      <c r="B124" s="31" t="s">
        <v>82</v>
      </c>
      <c r="C124" s="32" t="s">
        <v>83</v>
      </c>
      <c r="D124" s="32" t="s">
        <v>30</v>
      </c>
      <c r="E124" s="31" t="s">
        <v>43</v>
      </c>
      <c r="F124" s="32" t="s">
        <v>99</v>
      </c>
      <c r="G124" s="32" t="s">
        <v>100</v>
      </c>
      <c r="H124" s="31" t="s">
        <v>117</v>
      </c>
      <c r="I124" s="32" t="s">
        <v>102</v>
      </c>
      <c r="J124" s="31" t="s">
        <v>88</v>
      </c>
      <c r="K124" s="32" t="s">
        <v>103</v>
      </c>
      <c r="L124" s="31">
        <v>280</v>
      </c>
      <c r="M124" s="33">
        <v>0</v>
      </c>
    </row>
    <row r="125" spans="1:13" x14ac:dyDescent="0.3">
      <c r="A125" s="30">
        <v>112</v>
      </c>
      <c r="B125" s="31" t="s">
        <v>108</v>
      </c>
      <c r="C125" s="32" t="s">
        <v>109</v>
      </c>
      <c r="D125" s="32" t="s">
        <v>30</v>
      </c>
      <c r="E125" s="31" t="s">
        <v>41</v>
      </c>
      <c r="F125" s="32" t="s">
        <v>84</v>
      </c>
      <c r="G125" s="32" t="s">
        <v>85</v>
      </c>
      <c r="H125" s="31" t="s">
        <v>86</v>
      </c>
      <c r="I125" s="32" t="s">
        <v>110</v>
      </c>
      <c r="J125" s="31" t="s">
        <v>111</v>
      </c>
      <c r="K125" s="32" t="s">
        <v>112</v>
      </c>
      <c r="L125" s="31">
        <v>550</v>
      </c>
      <c r="M125" s="33">
        <v>0</v>
      </c>
    </row>
    <row r="126" spans="1:13" x14ac:dyDescent="0.3">
      <c r="A126" s="30">
        <v>113</v>
      </c>
      <c r="B126" s="31" t="s">
        <v>108</v>
      </c>
      <c r="C126" s="32" t="s">
        <v>109</v>
      </c>
      <c r="D126" s="32" t="s">
        <v>30</v>
      </c>
      <c r="E126" s="31" t="s">
        <v>42</v>
      </c>
      <c r="F126" s="32" t="s">
        <v>92</v>
      </c>
      <c r="G126" s="32" t="s">
        <v>93</v>
      </c>
      <c r="H126" s="31" t="s">
        <v>94</v>
      </c>
      <c r="I126" s="32" t="s">
        <v>114</v>
      </c>
      <c r="J126" s="31" t="s">
        <v>111</v>
      </c>
      <c r="K126" s="32" t="s">
        <v>115</v>
      </c>
      <c r="L126" s="31">
        <v>1300</v>
      </c>
      <c r="M126" s="33">
        <v>0</v>
      </c>
    </row>
    <row r="127" spans="1:13" x14ac:dyDescent="0.3">
      <c r="A127" s="30">
        <v>114</v>
      </c>
      <c r="B127" s="31" t="s">
        <v>108</v>
      </c>
      <c r="C127" s="32" t="s">
        <v>109</v>
      </c>
      <c r="D127" s="32" t="s">
        <v>30</v>
      </c>
      <c r="E127" s="31" t="s">
        <v>43</v>
      </c>
      <c r="F127" s="32" t="s">
        <v>99</v>
      </c>
      <c r="G127" s="32" t="s">
        <v>100</v>
      </c>
      <c r="H127" s="31" t="s">
        <v>101</v>
      </c>
      <c r="I127" s="32" t="s">
        <v>118</v>
      </c>
      <c r="J127" s="31" t="s">
        <v>111</v>
      </c>
      <c r="K127" s="32" t="s">
        <v>119</v>
      </c>
      <c r="L127" s="31">
        <v>750</v>
      </c>
      <c r="M127" s="33">
        <v>0</v>
      </c>
    </row>
    <row r="128" spans="1:13" x14ac:dyDescent="0.3">
      <c r="A128" s="30">
        <v>115</v>
      </c>
      <c r="B128" s="31" t="s">
        <v>123</v>
      </c>
      <c r="C128" s="32" t="s">
        <v>124</v>
      </c>
      <c r="D128" s="32" t="s">
        <v>30</v>
      </c>
      <c r="E128" s="31" t="s">
        <v>41</v>
      </c>
      <c r="F128" s="32" t="s">
        <v>84</v>
      </c>
      <c r="G128" s="32" t="s">
        <v>85</v>
      </c>
      <c r="H128" s="31" t="s">
        <v>86</v>
      </c>
      <c r="I128" s="32" t="s">
        <v>126</v>
      </c>
      <c r="J128" s="31" t="s">
        <v>127</v>
      </c>
      <c r="K128" s="32" t="s">
        <v>128</v>
      </c>
      <c r="L128" s="31">
        <v>140</v>
      </c>
      <c r="M128" s="33">
        <v>0</v>
      </c>
    </row>
    <row r="129" spans="1:13" x14ac:dyDescent="0.3">
      <c r="A129" s="30">
        <v>116</v>
      </c>
      <c r="B129" s="31" t="s">
        <v>123</v>
      </c>
      <c r="C129" s="32" t="s">
        <v>124</v>
      </c>
      <c r="D129" s="32" t="s">
        <v>30</v>
      </c>
      <c r="E129" s="31" t="s">
        <v>42</v>
      </c>
      <c r="F129" s="32"/>
      <c r="G129" s="32" t="s">
        <v>93</v>
      </c>
      <c r="H129" s="31" t="s">
        <v>94</v>
      </c>
      <c r="I129" s="32" t="s">
        <v>130</v>
      </c>
      <c r="J129" s="31" t="s">
        <v>127</v>
      </c>
      <c r="K129" s="32" t="s">
        <v>131</v>
      </c>
      <c r="L129" s="31">
        <v>300</v>
      </c>
      <c r="M129" s="33">
        <v>0</v>
      </c>
    </row>
    <row r="130" spans="1:13" x14ac:dyDescent="0.3">
      <c r="A130" s="30">
        <v>117</v>
      </c>
      <c r="B130" s="31" t="s">
        <v>123</v>
      </c>
      <c r="C130" s="32" t="s">
        <v>124</v>
      </c>
      <c r="D130" s="32" t="s">
        <v>30</v>
      </c>
      <c r="E130" s="31" t="s">
        <v>43</v>
      </c>
      <c r="F130" s="32" t="s">
        <v>99</v>
      </c>
      <c r="G130" s="32" t="s">
        <v>100</v>
      </c>
      <c r="H130" s="31" t="s">
        <v>101</v>
      </c>
      <c r="I130" s="32" t="s">
        <v>133</v>
      </c>
      <c r="J130" s="31" t="s">
        <v>127</v>
      </c>
      <c r="K130" s="32" t="s">
        <v>134</v>
      </c>
      <c r="L130" s="31">
        <v>220</v>
      </c>
      <c r="M130" s="33">
        <v>0</v>
      </c>
    </row>
    <row r="131" spans="1:13" x14ac:dyDescent="0.3">
      <c r="A131" s="30">
        <v>118</v>
      </c>
      <c r="B131" s="31" t="s">
        <v>138</v>
      </c>
      <c r="C131" s="32" t="s">
        <v>139</v>
      </c>
      <c r="D131" s="32" t="s">
        <v>30</v>
      </c>
      <c r="E131" s="31" t="s">
        <v>41</v>
      </c>
      <c r="F131" s="32" t="s">
        <v>84</v>
      </c>
      <c r="G131" s="32" t="s">
        <v>85</v>
      </c>
      <c r="H131" s="31" t="s">
        <v>86</v>
      </c>
      <c r="I131" s="32" t="s">
        <v>140</v>
      </c>
      <c r="J131" s="31" t="s">
        <v>141</v>
      </c>
      <c r="K131" s="32" t="s">
        <v>142</v>
      </c>
      <c r="L131" s="31">
        <v>130</v>
      </c>
      <c r="M131" s="33">
        <v>0</v>
      </c>
    </row>
    <row r="132" spans="1:13" x14ac:dyDescent="0.3">
      <c r="A132" s="30">
        <v>119</v>
      </c>
      <c r="B132" s="31" t="s">
        <v>138</v>
      </c>
      <c r="C132" s="32" t="s">
        <v>139</v>
      </c>
      <c r="D132" s="32" t="s">
        <v>30</v>
      </c>
      <c r="E132" s="31" t="s">
        <v>42</v>
      </c>
      <c r="F132" s="32" t="s">
        <v>92</v>
      </c>
      <c r="G132" s="32" t="s">
        <v>93</v>
      </c>
      <c r="H132" s="31" t="s">
        <v>94</v>
      </c>
      <c r="I132" s="32" t="s">
        <v>145</v>
      </c>
      <c r="J132" s="31" t="s">
        <v>141</v>
      </c>
      <c r="K132" s="32" t="s">
        <v>146</v>
      </c>
      <c r="L132" s="31">
        <v>290</v>
      </c>
      <c r="M132" s="33">
        <v>0</v>
      </c>
    </row>
    <row r="133" spans="1:13" x14ac:dyDescent="0.3">
      <c r="A133" s="30">
        <v>119</v>
      </c>
      <c r="B133" s="31" t="s">
        <v>138</v>
      </c>
      <c r="C133" s="32" t="s">
        <v>139</v>
      </c>
      <c r="D133" s="32" t="s">
        <v>30</v>
      </c>
      <c r="E133" s="31" t="s">
        <v>42</v>
      </c>
      <c r="F133" s="32" t="s">
        <v>92</v>
      </c>
      <c r="G133" s="32" t="s">
        <v>93</v>
      </c>
      <c r="H133" s="31" t="s">
        <v>94</v>
      </c>
      <c r="I133" s="32" t="s">
        <v>145</v>
      </c>
      <c r="J133" s="31" t="s">
        <v>141</v>
      </c>
      <c r="K133" s="32" t="s">
        <v>146</v>
      </c>
      <c r="L133" s="31">
        <v>290</v>
      </c>
      <c r="M133" s="33">
        <v>0</v>
      </c>
    </row>
    <row r="134" spans="1:13" x14ac:dyDescent="0.3">
      <c r="A134" s="30">
        <v>120</v>
      </c>
      <c r="B134" s="31" t="s">
        <v>138</v>
      </c>
      <c r="C134" s="32" t="s">
        <v>139</v>
      </c>
      <c r="D134" s="32" t="s">
        <v>30</v>
      </c>
      <c r="E134" s="31" t="s">
        <v>43</v>
      </c>
      <c r="F134" s="32" t="s">
        <v>99</v>
      </c>
      <c r="G134" s="32" t="s">
        <v>100</v>
      </c>
      <c r="H134" s="31" t="s">
        <v>101</v>
      </c>
      <c r="I134" s="32" t="s">
        <v>148</v>
      </c>
      <c r="J134" s="31" t="s">
        <v>141</v>
      </c>
      <c r="K134" s="32" t="s">
        <v>149</v>
      </c>
      <c r="L134" s="31">
        <v>270</v>
      </c>
      <c r="M134" s="33">
        <v>0</v>
      </c>
    </row>
    <row r="135" spans="1:13" x14ac:dyDescent="0.3">
      <c r="A135" s="30">
        <v>121</v>
      </c>
      <c r="B135" s="31" t="s">
        <v>82</v>
      </c>
      <c r="C135" s="32" t="s">
        <v>83</v>
      </c>
      <c r="D135" s="32" t="s">
        <v>31</v>
      </c>
      <c r="E135" s="31" t="s">
        <v>41</v>
      </c>
      <c r="F135" s="32" t="s">
        <v>84</v>
      </c>
      <c r="G135" s="32" t="s">
        <v>85</v>
      </c>
      <c r="H135" s="31" t="s">
        <v>86</v>
      </c>
      <c r="I135" s="32" t="s">
        <v>87</v>
      </c>
      <c r="J135" s="31" t="s">
        <v>88</v>
      </c>
      <c r="K135" s="32" t="s">
        <v>89</v>
      </c>
      <c r="L135" s="31">
        <v>180</v>
      </c>
      <c r="M135" s="33">
        <v>15</v>
      </c>
    </row>
    <row r="136" spans="1:13" x14ac:dyDescent="0.3">
      <c r="A136" s="30">
        <v>122</v>
      </c>
      <c r="B136" s="31" t="s">
        <v>82</v>
      </c>
      <c r="C136" s="32" t="s">
        <v>83</v>
      </c>
      <c r="D136" s="32" t="s">
        <v>31</v>
      </c>
      <c r="E136" s="31" t="s">
        <v>42</v>
      </c>
      <c r="F136" s="32" t="s">
        <v>92</v>
      </c>
      <c r="G136" s="32" t="s">
        <v>93</v>
      </c>
      <c r="H136" s="31" t="s">
        <v>144</v>
      </c>
      <c r="I136" s="32" t="s">
        <v>95</v>
      </c>
      <c r="J136" s="31" t="s">
        <v>88</v>
      </c>
      <c r="K136" s="32" t="s">
        <v>96</v>
      </c>
      <c r="L136" s="31">
        <v>450</v>
      </c>
      <c r="M136" s="33">
        <v>15</v>
      </c>
    </row>
    <row r="137" spans="1:13" x14ac:dyDescent="0.3">
      <c r="A137" s="30">
        <v>123</v>
      </c>
      <c r="B137" s="31" t="s">
        <v>82</v>
      </c>
      <c r="C137" s="32" t="s">
        <v>83</v>
      </c>
      <c r="D137" s="32" t="s">
        <v>31</v>
      </c>
      <c r="E137" s="31" t="s">
        <v>43</v>
      </c>
      <c r="F137" s="32" t="s">
        <v>99</v>
      </c>
      <c r="G137" s="32" t="s">
        <v>100</v>
      </c>
      <c r="H137" s="31" t="s">
        <v>101</v>
      </c>
      <c r="I137" s="32" t="s">
        <v>102</v>
      </c>
      <c r="J137" s="31" t="s">
        <v>88</v>
      </c>
      <c r="K137" s="32" t="s">
        <v>103</v>
      </c>
      <c r="L137" s="31">
        <v>300</v>
      </c>
      <c r="M137" s="33">
        <v>15</v>
      </c>
    </row>
    <row r="138" spans="1:13" x14ac:dyDescent="0.3">
      <c r="A138" s="30">
        <v>124</v>
      </c>
      <c r="B138" s="31" t="s">
        <v>108</v>
      </c>
      <c r="C138" s="32" t="s">
        <v>109</v>
      </c>
      <c r="D138" s="32" t="s">
        <v>31</v>
      </c>
      <c r="E138" s="31" t="s">
        <v>41</v>
      </c>
      <c r="F138" s="32" t="s">
        <v>84</v>
      </c>
      <c r="G138" s="32" t="s">
        <v>85</v>
      </c>
      <c r="H138" s="31" t="s">
        <v>86</v>
      </c>
      <c r="I138" s="32" t="s">
        <v>110</v>
      </c>
      <c r="J138" s="31" t="s">
        <v>111</v>
      </c>
      <c r="K138" s="32" t="s">
        <v>112</v>
      </c>
      <c r="L138" s="31">
        <v>600</v>
      </c>
      <c r="M138" s="33">
        <v>15</v>
      </c>
    </row>
    <row r="139" spans="1:13" x14ac:dyDescent="0.3">
      <c r="A139" s="30">
        <v>125</v>
      </c>
      <c r="B139" s="31" t="s">
        <v>108</v>
      </c>
      <c r="C139" s="32" t="s">
        <v>109</v>
      </c>
      <c r="D139" s="32" t="s">
        <v>31</v>
      </c>
      <c r="E139" s="31" t="s">
        <v>42</v>
      </c>
      <c r="F139" s="32" t="s">
        <v>92</v>
      </c>
      <c r="G139" s="32" t="s">
        <v>93</v>
      </c>
      <c r="H139" s="31" t="s">
        <v>94</v>
      </c>
      <c r="I139" s="32" t="s">
        <v>114</v>
      </c>
      <c r="J139" s="31" t="s">
        <v>111</v>
      </c>
      <c r="K139" s="32" t="s">
        <v>115</v>
      </c>
      <c r="L139" s="31">
        <v>1500</v>
      </c>
      <c r="M139" s="33">
        <v>15</v>
      </c>
    </row>
    <row r="140" spans="1:13" x14ac:dyDescent="0.3">
      <c r="A140" s="30">
        <v>126</v>
      </c>
      <c r="B140" s="31" t="s">
        <v>108</v>
      </c>
      <c r="C140" s="32" t="s">
        <v>109</v>
      </c>
      <c r="D140" s="32" t="s">
        <v>31</v>
      </c>
      <c r="E140" s="31" t="s">
        <v>43</v>
      </c>
      <c r="F140" s="32" t="s">
        <v>99</v>
      </c>
      <c r="G140" s="32" t="s">
        <v>100</v>
      </c>
      <c r="H140" s="31" t="s">
        <v>101</v>
      </c>
      <c r="I140" s="32" t="s">
        <v>118</v>
      </c>
      <c r="J140" s="31" t="s">
        <v>111</v>
      </c>
      <c r="K140" s="32" t="s">
        <v>119</v>
      </c>
      <c r="L140" s="31">
        <v>800</v>
      </c>
      <c r="M140" s="33">
        <v>15</v>
      </c>
    </row>
    <row r="141" spans="1:13" x14ac:dyDescent="0.3">
      <c r="A141" s="30">
        <v>127</v>
      </c>
      <c r="B141" s="31" t="s">
        <v>123</v>
      </c>
      <c r="C141" s="32" t="s">
        <v>124</v>
      </c>
      <c r="D141" s="32" t="s">
        <v>31</v>
      </c>
      <c r="E141" s="31" t="s">
        <v>41</v>
      </c>
      <c r="F141" s="32" t="s">
        <v>84</v>
      </c>
      <c r="G141" s="32" t="s">
        <v>85</v>
      </c>
      <c r="H141" s="31" t="s">
        <v>86</v>
      </c>
      <c r="I141" s="32" t="s">
        <v>126</v>
      </c>
      <c r="J141" s="31" t="s">
        <v>127</v>
      </c>
      <c r="K141" s="32" t="s">
        <v>128</v>
      </c>
      <c r="L141" s="31">
        <v>160</v>
      </c>
      <c r="M141" s="33">
        <v>15</v>
      </c>
    </row>
    <row r="142" spans="1:13" x14ac:dyDescent="0.3">
      <c r="A142" s="30">
        <v>128</v>
      </c>
      <c r="B142" s="31" t="s">
        <v>123</v>
      </c>
      <c r="C142" s="32" t="s">
        <v>124</v>
      </c>
      <c r="D142" s="32" t="s">
        <v>31</v>
      </c>
      <c r="E142" s="31" t="s">
        <v>42</v>
      </c>
      <c r="F142" s="32" t="s">
        <v>92</v>
      </c>
      <c r="G142" s="32" t="s">
        <v>93</v>
      </c>
      <c r="H142" s="31" t="s">
        <v>94</v>
      </c>
      <c r="I142" s="32" t="s">
        <v>130</v>
      </c>
      <c r="J142" s="31" t="s">
        <v>127</v>
      </c>
      <c r="K142" s="32" t="s">
        <v>131</v>
      </c>
      <c r="L142" s="31">
        <v>320</v>
      </c>
      <c r="M142" s="33">
        <v>15</v>
      </c>
    </row>
    <row r="143" spans="1:13" x14ac:dyDescent="0.3">
      <c r="A143" s="30">
        <v>129</v>
      </c>
      <c r="B143" s="31" t="s">
        <v>123</v>
      </c>
      <c r="C143" s="32" t="s">
        <v>124</v>
      </c>
      <c r="D143" s="32" t="s">
        <v>31</v>
      </c>
      <c r="E143" s="31" t="s">
        <v>43</v>
      </c>
      <c r="F143" s="32" t="s">
        <v>99</v>
      </c>
      <c r="G143" s="32" t="s">
        <v>100</v>
      </c>
      <c r="H143" s="31" t="s">
        <v>101</v>
      </c>
      <c r="I143" s="32" t="s">
        <v>133</v>
      </c>
      <c r="J143" s="31" t="s">
        <v>127</v>
      </c>
      <c r="K143" s="32" t="s">
        <v>134</v>
      </c>
      <c r="L143" s="31">
        <v>250</v>
      </c>
      <c r="M143" s="33">
        <v>15</v>
      </c>
    </row>
    <row r="144" spans="1:13" x14ac:dyDescent="0.3">
      <c r="A144" s="30">
        <v>130</v>
      </c>
      <c r="B144" s="31" t="s">
        <v>138</v>
      </c>
      <c r="C144" s="32" t="s">
        <v>139</v>
      </c>
      <c r="D144" s="32" t="s">
        <v>31</v>
      </c>
      <c r="E144" s="31" t="s">
        <v>41</v>
      </c>
      <c r="F144" s="32" t="s">
        <v>84</v>
      </c>
      <c r="G144" s="32" t="s">
        <v>85</v>
      </c>
      <c r="H144" s="31" t="s">
        <v>86</v>
      </c>
      <c r="I144" s="32" t="s">
        <v>140</v>
      </c>
      <c r="J144" s="31" t="s">
        <v>141</v>
      </c>
      <c r="K144" s="32" t="s">
        <v>142</v>
      </c>
      <c r="L144" s="31">
        <v>140</v>
      </c>
      <c r="M144" s="33">
        <v>15</v>
      </c>
    </row>
    <row r="145" spans="1:13" x14ac:dyDescent="0.3">
      <c r="A145" s="30">
        <v>131</v>
      </c>
      <c r="B145" s="31" t="s">
        <v>138</v>
      </c>
      <c r="C145" s="32" t="s">
        <v>139</v>
      </c>
      <c r="D145" s="32" t="s">
        <v>31</v>
      </c>
      <c r="E145" s="31" t="s">
        <v>42</v>
      </c>
      <c r="F145" s="32" t="s">
        <v>92</v>
      </c>
      <c r="G145" s="32" t="s">
        <v>93</v>
      </c>
      <c r="H145" s="31" t="s">
        <v>94</v>
      </c>
      <c r="I145" s="32" t="s">
        <v>145</v>
      </c>
      <c r="J145" s="31" t="s">
        <v>141</v>
      </c>
      <c r="K145" s="32" t="s">
        <v>146</v>
      </c>
      <c r="L145" s="31">
        <v>310</v>
      </c>
      <c r="M145" s="33">
        <v>15</v>
      </c>
    </row>
    <row r="146" spans="1:13" x14ac:dyDescent="0.3">
      <c r="A146" s="30">
        <v>132</v>
      </c>
      <c r="B146" s="31" t="s">
        <v>138</v>
      </c>
      <c r="C146" s="32" t="s">
        <v>139</v>
      </c>
      <c r="D146" s="32" t="s">
        <v>31</v>
      </c>
      <c r="E146" s="31" t="s">
        <v>43</v>
      </c>
      <c r="F146" s="32" t="s">
        <v>99</v>
      </c>
      <c r="G146" s="32" t="s">
        <v>100</v>
      </c>
      <c r="H146" s="31" t="s">
        <v>101</v>
      </c>
      <c r="I146" s="32" t="s">
        <v>148</v>
      </c>
      <c r="J146" s="31" t="s">
        <v>141</v>
      </c>
      <c r="K146" s="32" t="s">
        <v>149</v>
      </c>
      <c r="L146" s="31">
        <v>290</v>
      </c>
      <c r="M146" s="33">
        <v>15</v>
      </c>
    </row>
    <row r="147" spans="1:13" x14ac:dyDescent="0.3">
      <c r="A147" s="30">
        <v>132</v>
      </c>
      <c r="B147" s="31" t="s">
        <v>138</v>
      </c>
      <c r="C147" s="32" t="s">
        <v>139</v>
      </c>
      <c r="D147" s="32" t="s">
        <v>31</v>
      </c>
      <c r="E147" s="31" t="s">
        <v>43</v>
      </c>
      <c r="F147" s="32" t="s">
        <v>99</v>
      </c>
      <c r="G147" s="32" t="s">
        <v>100</v>
      </c>
      <c r="H147" s="31" t="s">
        <v>101</v>
      </c>
      <c r="I147" s="32" t="s">
        <v>148</v>
      </c>
      <c r="J147" s="31" t="s">
        <v>141</v>
      </c>
      <c r="K147" s="32" t="s">
        <v>149</v>
      </c>
      <c r="L147" s="31">
        <v>290</v>
      </c>
      <c r="M147" s="33">
        <v>15</v>
      </c>
    </row>
    <row r="148" spans="1:13" x14ac:dyDescent="0.3">
      <c r="A148" s="30">
        <v>133</v>
      </c>
      <c r="B148" s="31" t="s">
        <v>82</v>
      </c>
      <c r="C148" s="32" t="s">
        <v>83</v>
      </c>
      <c r="D148" s="32" t="s">
        <v>32</v>
      </c>
      <c r="E148" s="31" t="s">
        <v>41</v>
      </c>
      <c r="F148" s="32" t="s">
        <v>84</v>
      </c>
      <c r="G148" s="32" t="s">
        <v>85</v>
      </c>
      <c r="H148" s="31" t="s">
        <v>86</v>
      </c>
      <c r="I148" s="32" t="s">
        <v>87</v>
      </c>
      <c r="J148" s="31" t="s">
        <v>88</v>
      </c>
      <c r="K148" s="32" t="s">
        <v>89</v>
      </c>
      <c r="L148" s="31">
        <v>250</v>
      </c>
      <c r="M148" s="33">
        <v>20</v>
      </c>
    </row>
    <row r="149" spans="1:13" x14ac:dyDescent="0.3">
      <c r="A149" s="30">
        <v>134</v>
      </c>
      <c r="B149" s="31" t="s">
        <v>82</v>
      </c>
      <c r="C149" s="32" t="s">
        <v>83</v>
      </c>
      <c r="D149" s="32" t="s">
        <v>32</v>
      </c>
      <c r="E149" s="31" t="s">
        <v>42</v>
      </c>
      <c r="F149" s="32" t="s">
        <v>92</v>
      </c>
      <c r="G149" s="32" t="s">
        <v>93</v>
      </c>
      <c r="H149" s="31" t="s">
        <v>94</v>
      </c>
      <c r="I149" s="32" t="s">
        <v>95</v>
      </c>
      <c r="J149" s="31" t="s">
        <v>88</v>
      </c>
      <c r="K149" s="32" t="s">
        <v>96</v>
      </c>
      <c r="L149" s="31">
        <v>600</v>
      </c>
      <c r="M149" s="33">
        <v>20</v>
      </c>
    </row>
    <row r="150" spans="1:13" x14ac:dyDescent="0.3">
      <c r="A150" s="30">
        <v>134</v>
      </c>
      <c r="B150" s="31" t="s">
        <v>82</v>
      </c>
      <c r="C150" s="32" t="s">
        <v>83</v>
      </c>
      <c r="D150" s="32" t="s">
        <v>32</v>
      </c>
      <c r="E150" s="31" t="s">
        <v>42</v>
      </c>
      <c r="F150" s="32" t="s">
        <v>92</v>
      </c>
      <c r="G150" s="32" t="s">
        <v>93</v>
      </c>
      <c r="H150" s="31" t="s">
        <v>94</v>
      </c>
      <c r="I150" s="32" t="s">
        <v>95</v>
      </c>
      <c r="J150" s="31" t="s">
        <v>88</v>
      </c>
      <c r="K150" s="32" t="s">
        <v>96</v>
      </c>
      <c r="L150" s="31">
        <v>600</v>
      </c>
      <c r="M150" s="33">
        <v>20</v>
      </c>
    </row>
    <row r="151" spans="1:13" x14ac:dyDescent="0.3">
      <c r="A151" s="30">
        <v>135</v>
      </c>
      <c r="B151" s="31" t="s">
        <v>82</v>
      </c>
      <c r="C151" s="32" t="s">
        <v>83</v>
      </c>
      <c r="D151" s="32" t="s">
        <v>32</v>
      </c>
      <c r="E151" s="31" t="s">
        <v>43</v>
      </c>
      <c r="F151" s="32" t="s">
        <v>99</v>
      </c>
      <c r="G151" s="32" t="s">
        <v>100</v>
      </c>
      <c r="H151" s="31" t="s">
        <v>117</v>
      </c>
      <c r="I151" s="32" t="s">
        <v>102</v>
      </c>
      <c r="J151" s="31" t="s">
        <v>88</v>
      </c>
      <c r="K151" s="32" t="s">
        <v>103</v>
      </c>
      <c r="L151" s="31">
        <v>400</v>
      </c>
      <c r="M151" s="33">
        <v>20</v>
      </c>
    </row>
    <row r="152" spans="1:13" x14ac:dyDescent="0.3">
      <c r="A152" s="30">
        <v>136</v>
      </c>
      <c r="B152" s="31" t="s">
        <v>108</v>
      </c>
      <c r="C152" s="32" t="s">
        <v>109</v>
      </c>
      <c r="D152" s="32" t="s">
        <v>32</v>
      </c>
      <c r="E152" s="31" t="s">
        <v>41</v>
      </c>
      <c r="F152" s="32" t="s">
        <v>84</v>
      </c>
      <c r="G152" s="32" t="s">
        <v>85</v>
      </c>
      <c r="H152" s="31" t="s">
        <v>86</v>
      </c>
      <c r="I152" s="32" t="s">
        <v>110</v>
      </c>
      <c r="J152" s="31" t="s">
        <v>111</v>
      </c>
      <c r="K152" s="32" t="s">
        <v>112</v>
      </c>
      <c r="L152" s="31">
        <v>800</v>
      </c>
      <c r="M152" s="33">
        <v>20</v>
      </c>
    </row>
    <row r="153" spans="1:13" x14ac:dyDescent="0.3">
      <c r="A153" s="30">
        <v>137</v>
      </c>
      <c r="B153" s="31" t="s">
        <v>108</v>
      </c>
      <c r="C153" s="32" t="s">
        <v>109</v>
      </c>
      <c r="D153" s="32" t="s">
        <v>32</v>
      </c>
      <c r="E153" s="31" t="s">
        <v>42</v>
      </c>
      <c r="F153" s="32"/>
      <c r="G153" s="32" t="s">
        <v>93</v>
      </c>
      <c r="H153" s="31" t="s">
        <v>144</v>
      </c>
      <c r="I153" s="32" t="s">
        <v>114</v>
      </c>
      <c r="J153" s="31" t="s">
        <v>111</v>
      </c>
      <c r="K153" s="32" t="s">
        <v>115</v>
      </c>
      <c r="L153" s="31">
        <v>2000</v>
      </c>
      <c r="M153" s="33">
        <v>20</v>
      </c>
    </row>
    <row r="154" spans="1:13" x14ac:dyDescent="0.3">
      <c r="A154" s="30">
        <v>138</v>
      </c>
      <c r="B154" s="31" t="s">
        <v>108</v>
      </c>
      <c r="C154" s="32" t="s">
        <v>109</v>
      </c>
      <c r="D154" s="32" t="s">
        <v>32</v>
      </c>
      <c r="E154" s="31" t="s">
        <v>43</v>
      </c>
      <c r="F154" s="32" t="s">
        <v>99</v>
      </c>
      <c r="G154" s="32" t="s">
        <v>100</v>
      </c>
      <c r="H154" s="31" t="s">
        <v>101</v>
      </c>
      <c r="I154" s="32" t="s">
        <v>118</v>
      </c>
      <c r="J154" s="31" t="s">
        <v>111</v>
      </c>
      <c r="K154" s="32" t="s">
        <v>119</v>
      </c>
      <c r="L154" s="31">
        <v>1200</v>
      </c>
      <c r="M154" s="33">
        <v>20</v>
      </c>
    </row>
    <row r="155" spans="1:13" x14ac:dyDescent="0.3">
      <c r="A155" s="30">
        <v>138</v>
      </c>
      <c r="B155" s="31" t="s">
        <v>108</v>
      </c>
      <c r="C155" s="32" t="s">
        <v>109</v>
      </c>
      <c r="D155" s="32" t="s">
        <v>32</v>
      </c>
      <c r="E155" s="31" t="s">
        <v>43</v>
      </c>
      <c r="F155" s="32" t="s">
        <v>99</v>
      </c>
      <c r="G155" s="32" t="s">
        <v>100</v>
      </c>
      <c r="H155" s="31" t="s">
        <v>101</v>
      </c>
      <c r="I155" s="32" t="s">
        <v>118</v>
      </c>
      <c r="J155" s="31" t="s">
        <v>111</v>
      </c>
      <c r="K155" s="32" t="s">
        <v>119</v>
      </c>
      <c r="L155" s="31">
        <v>1200</v>
      </c>
      <c r="M155" s="33">
        <v>20</v>
      </c>
    </row>
    <row r="156" spans="1:13" x14ac:dyDescent="0.3">
      <c r="A156" s="30">
        <v>139</v>
      </c>
      <c r="B156" s="31" t="s">
        <v>123</v>
      </c>
      <c r="C156" s="32" t="s">
        <v>124</v>
      </c>
      <c r="D156" s="32" t="s">
        <v>32</v>
      </c>
      <c r="E156" s="31" t="s">
        <v>41</v>
      </c>
      <c r="F156" s="32" t="s">
        <v>84</v>
      </c>
      <c r="G156" s="32" t="s">
        <v>85</v>
      </c>
      <c r="H156" s="31" t="s">
        <v>125</v>
      </c>
      <c r="I156" s="32" t="s">
        <v>126</v>
      </c>
      <c r="J156" s="31" t="s">
        <v>127</v>
      </c>
      <c r="K156" s="32" t="s">
        <v>128</v>
      </c>
      <c r="L156" s="31">
        <v>200</v>
      </c>
      <c r="M156" s="33">
        <v>20</v>
      </c>
    </row>
    <row r="157" spans="1:13" x14ac:dyDescent="0.3">
      <c r="A157" s="30">
        <v>140</v>
      </c>
      <c r="B157" s="31" t="s">
        <v>123</v>
      </c>
      <c r="C157" s="32" t="s">
        <v>124</v>
      </c>
      <c r="D157" s="32" t="s">
        <v>32</v>
      </c>
      <c r="E157" s="31" t="s">
        <v>42</v>
      </c>
      <c r="F157" s="32" t="s">
        <v>92</v>
      </c>
      <c r="G157" s="32" t="s">
        <v>93</v>
      </c>
      <c r="H157" s="31" t="s">
        <v>144</v>
      </c>
      <c r="I157" s="32" t="s">
        <v>130</v>
      </c>
      <c r="J157" s="31" t="s">
        <v>127</v>
      </c>
      <c r="K157" s="32" t="s">
        <v>131</v>
      </c>
      <c r="L157" s="31">
        <v>400</v>
      </c>
      <c r="M157" s="33">
        <v>20</v>
      </c>
    </row>
    <row r="158" spans="1:13" x14ac:dyDescent="0.3">
      <c r="A158" s="30">
        <v>141</v>
      </c>
      <c r="B158" s="31" t="s">
        <v>123</v>
      </c>
      <c r="C158" s="32" t="s">
        <v>124</v>
      </c>
      <c r="D158" s="32" t="s">
        <v>32</v>
      </c>
      <c r="E158" s="31" t="s">
        <v>43</v>
      </c>
      <c r="F158" s="32"/>
      <c r="G158" s="32" t="s">
        <v>100</v>
      </c>
      <c r="H158" s="31" t="s">
        <v>101</v>
      </c>
      <c r="I158" s="32" t="s">
        <v>133</v>
      </c>
      <c r="J158" s="31" t="s">
        <v>127</v>
      </c>
      <c r="K158" s="32" t="s">
        <v>134</v>
      </c>
      <c r="L158" s="31">
        <v>350</v>
      </c>
      <c r="M158" s="33">
        <v>20</v>
      </c>
    </row>
    <row r="159" spans="1:13" x14ac:dyDescent="0.3">
      <c r="A159" s="30">
        <v>142</v>
      </c>
      <c r="B159" s="31" t="s">
        <v>138</v>
      </c>
      <c r="C159" s="32" t="s">
        <v>139</v>
      </c>
      <c r="D159" s="32" t="s">
        <v>32</v>
      </c>
      <c r="E159" s="31" t="s">
        <v>41</v>
      </c>
      <c r="F159" s="32" t="s">
        <v>84</v>
      </c>
      <c r="G159" s="32" t="s">
        <v>85</v>
      </c>
      <c r="H159" s="31" t="s">
        <v>86</v>
      </c>
      <c r="I159" s="32" t="s">
        <v>140</v>
      </c>
      <c r="J159" s="31" t="s">
        <v>141</v>
      </c>
      <c r="K159" s="32" t="s">
        <v>142</v>
      </c>
      <c r="L159" s="31">
        <v>180</v>
      </c>
      <c r="M159" s="33">
        <v>20</v>
      </c>
    </row>
    <row r="160" spans="1:13" x14ac:dyDescent="0.3">
      <c r="A160" s="30">
        <v>142</v>
      </c>
      <c r="B160" s="31" t="s">
        <v>138</v>
      </c>
      <c r="C160" s="32" t="s">
        <v>139</v>
      </c>
      <c r="D160" s="32" t="s">
        <v>32</v>
      </c>
      <c r="E160" s="31" t="s">
        <v>41</v>
      </c>
      <c r="F160" s="32" t="s">
        <v>84</v>
      </c>
      <c r="G160" s="32" t="s">
        <v>85</v>
      </c>
      <c r="H160" s="31" t="s">
        <v>86</v>
      </c>
      <c r="I160" s="32" t="s">
        <v>140</v>
      </c>
      <c r="J160" s="31" t="s">
        <v>141</v>
      </c>
      <c r="K160" s="32" t="s">
        <v>142</v>
      </c>
      <c r="L160" s="31">
        <v>180</v>
      </c>
      <c r="M160" s="33">
        <v>20</v>
      </c>
    </row>
    <row r="161" spans="1:13" x14ac:dyDescent="0.3">
      <c r="A161" s="30">
        <v>143</v>
      </c>
      <c r="B161" s="31" t="s">
        <v>138</v>
      </c>
      <c r="C161" s="32" t="s">
        <v>139</v>
      </c>
      <c r="D161" s="32" t="s">
        <v>32</v>
      </c>
      <c r="E161" s="31" t="s">
        <v>42</v>
      </c>
      <c r="F161" s="32" t="s">
        <v>92</v>
      </c>
      <c r="G161" s="32" t="s">
        <v>93</v>
      </c>
      <c r="H161" s="31" t="s">
        <v>94</v>
      </c>
      <c r="I161" s="32" t="s">
        <v>145</v>
      </c>
      <c r="J161" s="31" t="s">
        <v>141</v>
      </c>
      <c r="K161" s="32" t="s">
        <v>146</v>
      </c>
      <c r="L161" s="31">
        <v>400</v>
      </c>
      <c r="M161" s="33">
        <v>20</v>
      </c>
    </row>
    <row r="162" spans="1:13" x14ac:dyDescent="0.3">
      <c r="A162" s="34">
        <v>144</v>
      </c>
      <c r="B162" s="35" t="s">
        <v>138</v>
      </c>
      <c r="C162" s="36" t="s">
        <v>139</v>
      </c>
      <c r="D162" s="36" t="s">
        <v>32</v>
      </c>
      <c r="E162" s="35" t="s">
        <v>43</v>
      </c>
      <c r="F162" s="36" t="s">
        <v>99</v>
      </c>
      <c r="G162" s="36" t="s">
        <v>100</v>
      </c>
      <c r="H162" s="35" t="s">
        <v>101</v>
      </c>
      <c r="I162" s="36" t="s">
        <v>148</v>
      </c>
      <c r="J162" s="35" t="s">
        <v>141</v>
      </c>
      <c r="K162" s="36" t="s">
        <v>149</v>
      </c>
      <c r="L162" s="35">
        <v>360</v>
      </c>
      <c r="M162" s="37">
        <v>20</v>
      </c>
    </row>
  </sheetData>
  <conditionalFormatting sqref="A2:M162">
    <cfRule type="expression" dxfId="1" priority="2">
      <formula>COUNTIF($A$2:$A$162,$A2)&gt;1</formula>
    </cfRule>
  </conditionalFormatting>
  <conditionalFormatting sqref="F2:F162">
    <cfRule type="expression" dxfId="0" priority="3">
      <formula>ISBLANK($F2)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4"/>
  <sheetViews>
    <sheetView zoomScaleNormal="100" workbookViewId="0"/>
  </sheetViews>
  <sheetFormatPr defaultColWidth="8.5546875" defaultRowHeight="14.4" x14ac:dyDescent="0.3"/>
  <cols>
    <col min="1" max="1" width="14" customWidth="1"/>
    <col min="2" max="3" width="12" customWidth="1"/>
    <col min="4" max="4" width="10" customWidth="1"/>
    <col min="5" max="5" width="3" customWidth="1"/>
    <col min="6" max="6" width="10" customWidth="1"/>
    <col min="7" max="7" width="16" customWidth="1"/>
    <col min="8" max="8" width="3" customWidth="1"/>
    <col min="9" max="9" width="22" customWidth="1"/>
    <col min="10" max="10" width="24" customWidth="1"/>
    <col min="11" max="11" width="3" customWidth="1"/>
    <col min="12" max="12" width="22" customWidth="1"/>
    <col min="13" max="13" width="3" customWidth="1"/>
    <col min="14" max="14" width="16" customWidth="1"/>
    <col min="15" max="15" width="10" customWidth="1"/>
  </cols>
  <sheetData>
    <row r="1" spans="1:15" ht="15.6" x14ac:dyDescent="0.3">
      <c r="A1" s="38" t="s">
        <v>156</v>
      </c>
    </row>
    <row r="2" spans="1:15" ht="26.4" x14ac:dyDescent="0.3">
      <c r="A2" s="4" t="s">
        <v>154</v>
      </c>
      <c r="B2" s="4" t="s">
        <v>3</v>
      </c>
      <c r="C2" s="4" t="s">
        <v>4</v>
      </c>
      <c r="D2" s="4" t="s">
        <v>63</v>
      </c>
      <c r="F2" s="4" t="s">
        <v>63</v>
      </c>
      <c r="G2" s="4" t="s">
        <v>157</v>
      </c>
      <c r="I2" s="4" t="s">
        <v>40</v>
      </c>
      <c r="J2" s="4" t="s">
        <v>158</v>
      </c>
      <c r="L2" s="4" t="s">
        <v>159</v>
      </c>
      <c r="N2" s="4" t="s">
        <v>160</v>
      </c>
      <c r="O2" s="4" t="s">
        <v>161</v>
      </c>
    </row>
    <row r="3" spans="1:15" x14ac:dyDescent="0.3">
      <c r="A3" s="39" t="s">
        <v>88</v>
      </c>
      <c r="B3" s="39" t="s">
        <v>9</v>
      </c>
      <c r="C3" s="39" t="s">
        <v>15</v>
      </c>
      <c r="D3" s="39" t="s">
        <v>162</v>
      </c>
      <c r="F3" s="39" t="s">
        <v>162</v>
      </c>
      <c r="G3" s="40">
        <v>1.2E-2</v>
      </c>
      <c r="I3" s="39" t="s">
        <v>41</v>
      </c>
      <c r="J3" s="41">
        <v>15</v>
      </c>
      <c r="L3" s="39" t="s">
        <v>21</v>
      </c>
      <c r="N3" s="39" t="s">
        <v>163</v>
      </c>
      <c r="O3" s="41">
        <v>1.60934</v>
      </c>
    </row>
    <row r="4" spans="1:15" x14ac:dyDescent="0.3">
      <c r="A4" s="39" t="s">
        <v>111</v>
      </c>
      <c r="B4" s="39" t="s">
        <v>10</v>
      </c>
      <c r="C4" s="39" t="s">
        <v>15</v>
      </c>
      <c r="D4" s="39" t="s">
        <v>164</v>
      </c>
      <c r="F4" s="39" t="s">
        <v>164</v>
      </c>
      <c r="G4" s="40">
        <v>0.14000000000000001</v>
      </c>
      <c r="I4" s="39" t="s">
        <v>42</v>
      </c>
      <c r="J4" s="41">
        <v>20</v>
      </c>
      <c r="L4" s="39" t="s">
        <v>22</v>
      </c>
      <c r="N4" s="39" t="s">
        <v>165</v>
      </c>
      <c r="O4" s="41">
        <v>1000</v>
      </c>
    </row>
    <row r="5" spans="1:15" x14ac:dyDescent="0.3">
      <c r="A5" s="39" t="s">
        <v>141</v>
      </c>
      <c r="B5" s="39" t="s">
        <v>11</v>
      </c>
      <c r="C5" s="39" t="s">
        <v>16</v>
      </c>
      <c r="D5" s="39" t="s">
        <v>166</v>
      </c>
      <c r="F5" s="39" t="s">
        <v>166</v>
      </c>
      <c r="G5" s="40">
        <v>1.08</v>
      </c>
      <c r="I5" s="39" t="s">
        <v>43</v>
      </c>
      <c r="J5" s="41">
        <v>18</v>
      </c>
      <c r="L5" s="39" t="s">
        <v>23</v>
      </c>
    </row>
    <row r="6" spans="1:15" x14ac:dyDescent="0.3">
      <c r="A6" s="39" t="s">
        <v>127</v>
      </c>
      <c r="B6" s="39" t="s">
        <v>12</v>
      </c>
      <c r="C6" s="39" t="s">
        <v>16</v>
      </c>
      <c r="D6" s="39" t="s">
        <v>166</v>
      </c>
      <c r="L6" s="39" t="s">
        <v>24</v>
      </c>
    </row>
    <row r="7" spans="1:15" x14ac:dyDescent="0.3">
      <c r="F7" s="2" t="s">
        <v>167</v>
      </c>
      <c r="I7" s="2" t="s">
        <v>168</v>
      </c>
      <c r="L7" s="39" t="s">
        <v>25</v>
      </c>
    </row>
    <row r="8" spans="1:15" x14ac:dyDescent="0.3">
      <c r="L8" s="39" t="s">
        <v>26</v>
      </c>
    </row>
    <row r="9" spans="1:15" x14ac:dyDescent="0.3">
      <c r="L9" s="39" t="s">
        <v>27</v>
      </c>
    </row>
    <row r="10" spans="1:15" x14ac:dyDescent="0.3">
      <c r="L10" s="39" t="s">
        <v>28</v>
      </c>
    </row>
    <row r="11" spans="1:15" x14ac:dyDescent="0.3">
      <c r="L11" s="39" t="s">
        <v>29</v>
      </c>
    </row>
    <row r="12" spans="1:15" x14ac:dyDescent="0.3">
      <c r="L12" s="39" t="s">
        <v>30</v>
      </c>
    </row>
    <row r="13" spans="1:15" x14ac:dyDescent="0.3">
      <c r="L13" s="39" t="s">
        <v>31</v>
      </c>
    </row>
    <row r="14" spans="1:15" x14ac:dyDescent="0.3">
      <c r="L14" s="39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Analysis</vt:lpstr>
      <vt:lpstr>Clean Data</vt:lpstr>
      <vt:lpstr>Original Data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Ackerl</dc:creator>
  <dc:description/>
  <cp:lastModifiedBy>Ved Patil</cp:lastModifiedBy>
  <cp:revision>1</cp:revision>
  <dcterms:created xsi:type="dcterms:W3CDTF">2024-10-18T18:00:41Z</dcterms:created>
  <dcterms:modified xsi:type="dcterms:W3CDTF">2026-10-27T15:03:59Z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0x010100D5E8A6270632B74CA44318185654C11B</vt:lpwstr>
  </property>
</Properties>
</file>